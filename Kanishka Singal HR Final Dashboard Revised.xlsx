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d9ea3f0d045d2f4/Documents/Case Studies/"/>
    </mc:Choice>
  </mc:AlternateContent>
  <xr:revisionPtr revIDLastSave="274" documentId="8_{8C24A464-4BCA-4296-9975-8563AD11DE30}" xr6:coauthVersionLast="47" xr6:coauthVersionMax="47" xr10:uidLastSave="{DFEC8B8F-2FD3-4235-8978-A6C1C26F77D0}"/>
  <bookViews>
    <workbookView xWindow="-110" yWindow="-110" windowWidth="19420" windowHeight="11500" activeTab="1" xr2:uid="{4B0CC753-8D48-4AF3-ACF9-EE003EA745D5}"/>
  </bookViews>
  <sheets>
    <sheet name="Sheet1" sheetId="2" r:id="rId1"/>
    <sheet name="HR Dashboard" sheetId="1" r:id="rId2"/>
  </sheets>
  <definedNames>
    <definedName name="_xlnm._FilterDatabase" localSheetId="0" hidden="1">Sheet1!$A$1:$L$19</definedName>
    <definedName name="NativeTimeline_Date_of_Joining1">#N/A</definedName>
    <definedName name="Slicer_Branch_City">#N/A</definedName>
    <definedName name="Slicer_Employee_Name">#N/A</definedName>
    <definedName name="Slicer_Gende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2" l="1"/>
  <c r="G22" i="2"/>
  <c r="B2" i="2"/>
  <c r="K2" i="2"/>
  <c r="B3" i="2"/>
  <c r="K3" i="2"/>
  <c r="B4" i="2"/>
  <c r="K4" i="2"/>
  <c r="B5" i="2"/>
  <c r="K5" i="2"/>
  <c r="B6" i="2"/>
  <c r="K6" i="2"/>
  <c r="B7" i="2"/>
  <c r="K7" i="2"/>
  <c r="B8" i="2"/>
  <c r="K8" i="2"/>
  <c r="B9" i="2"/>
  <c r="K9" i="2"/>
  <c r="B10" i="2"/>
  <c r="K10" i="2"/>
  <c r="B11" i="2"/>
  <c r="K11" i="2"/>
  <c r="B12" i="2"/>
  <c r="K12" i="2"/>
  <c r="B13" i="2"/>
  <c r="K13" i="2"/>
  <c r="B14" i="2"/>
  <c r="K14" i="2"/>
  <c r="B15" i="2"/>
  <c r="K15" i="2"/>
  <c r="B16" i="2"/>
  <c r="K16" i="2"/>
  <c r="B17" i="2"/>
  <c r="K17" i="2"/>
  <c r="B18" i="2"/>
  <c r="K18" i="2"/>
  <c r="B19" i="2"/>
  <c r="K19" i="2"/>
</calcChain>
</file>

<file path=xl/sharedStrings.xml><?xml version="1.0" encoding="utf-8"?>
<sst xmlns="http://schemas.openxmlformats.org/spreadsheetml/2006/main" count="161" uniqueCount="88">
  <si>
    <t>7. Pivot Charts were created to represent the summarized data visually.</t>
  </si>
  <si>
    <t>*Description*</t>
  </si>
  <si>
    <t>Grand Total</t>
  </si>
  <si>
    <t>Sales</t>
  </si>
  <si>
    <t>Operations</t>
  </si>
  <si>
    <t>Marketing</t>
  </si>
  <si>
    <t>IT Support</t>
  </si>
  <si>
    <t>HR</t>
  </si>
  <si>
    <t>Finance</t>
  </si>
  <si>
    <t>Average of Monthly Salary (Rs)</t>
  </si>
  <si>
    <t>Row Labels</t>
  </si>
  <si>
    <t>Trainee</t>
  </si>
  <si>
    <t>Senior Executive</t>
  </si>
  <si>
    <t>Executive</t>
  </si>
  <si>
    <t>Count of Employee ID</t>
  </si>
  <si>
    <t>Count of Monthly Salary (Rs)</t>
  </si>
  <si>
    <t>HR DASHBOARD</t>
  </si>
  <si>
    <t>1. First, I took the raw employee data containing details such as Employee ID, Department, Designation, Monthly Salary, Branch City, and Date of Joining.</t>
  </si>
  <si>
    <t>2. I checked and organized the raw data to ensure that the information was properly arranged for analysis.</t>
  </si>
  <si>
    <t>3. Next, I created Pivot Tables to summarize the employee data.</t>
  </si>
  <si>
    <t>4. Then, I calculated the count of employees department-wise.</t>
  </si>
  <si>
    <t>5. Further calculated the average monthly salary department-wise.</t>
  </si>
  <si>
    <t>6. Then created a designation-wise employee count to understand the workforce distribution.</t>
  </si>
  <si>
    <t>9. Then I added a Date of Joining Timeline to analyse employees based on their joining year.</t>
  </si>
  <si>
    <t>10. Finally, I have combined the Pivot Tables, charts, slicer, and timeline to create an interactive HR Dashboard for easy analysis and decision-making.</t>
  </si>
  <si>
    <t>8. I have added a Branch City , Gender, Employee Name Slicer to filter the dashboard according to different cities.</t>
  </si>
  <si>
    <t>Mumbai</t>
  </si>
  <si>
    <t>Male</t>
  </si>
  <si>
    <t>Vivaan Singh</t>
  </si>
  <si>
    <t>EMP1018</t>
  </si>
  <si>
    <t>Delhi</t>
  </si>
  <si>
    <t>Female</t>
  </si>
  <si>
    <t>Esha Iyer</t>
  </si>
  <si>
    <t>EMP1017</t>
  </si>
  <si>
    <t>Pune</t>
  </si>
  <si>
    <t>Siddharth Bhatt</t>
  </si>
  <si>
    <t>EMP1016</t>
  </si>
  <si>
    <t>Bangalore</t>
  </si>
  <si>
    <t>Yash Gupta</t>
  </si>
  <si>
    <t>EMP1015</t>
  </si>
  <si>
    <t>Siddharth Sharma</t>
  </si>
  <si>
    <t>EMP1014</t>
  </si>
  <si>
    <t>Chennai</t>
  </si>
  <si>
    <t>Rohan Menon</t>
  </si>
  <si>
    <t>EMP1013</t>
  </si>
  <si>
    <t>Pooja Sharma</t>
  </si>
  <si>
    <t>EMP1012</t>
  </si>
  <si>
    <t>Kavya Nair</t>
  </si>
  <si>
    <t>EMP1011</t>
  </si>
  <si>
    <t>Hyderabad</t>
  </si>
  <si>
    <t>Tara Agarwal</t>
  </si>
  <si>
    <t>EMP1010</t>
  </si>
  <si>
    <t>Ahmedabad</t>
  </si>
  <si>
    <t>Sneha Mehta</t>
  </si>
  <si>
    <t>EMP1009</t>
  </si>
  <si>
    <t>Pooja Singh</t>
  </si>
  <si>
    <t>EMP1008</t>
  </si>
  <si>
    <t>Ishita Bhatt</t>
  </si>
  <si>
    <t>EMP1007</t>
  </si>
  <si>
    <t>Kavya Kapoor</t>
  </si>
  <si>
    <t>EMP1006</t>
  </si>
  <si>
    <t>Zoravar Joshi</t>
  </si>
  <si>
    <t>EMP1005</t>
  </si>
  <si>
    <t>Dhruv Bhatt</t>
  </si>
  <si>
    <t>EMP1004</t>
  </si>
  <si>
    <t>Aarav Reddy</t>
  </si>
  <si>
    <t>EMP1003</t>
  </si>
  <si>
    <t>Krishna Singh</t>
  </si>
  <si>
    <t>EMP1002</t>
  </si>
  <si>
    <t>Aanya Kumar</t>
  </si>
  <si>
    <t>EMP1001</t>
  </si>
  <si>
    <t>Count If</t>
  </si>
  <si>
    <t>Age Group</t>
  </si>
  <si>
    <t>Monthly Salary (Rs)</t>
  </si>
  <si>
    <t>Date of Joining</t>
  </si>
  <si>
    <t>Designation</t>
  </si>
  <si>
    <t>Branch City</t>
  </si>
  <si>
    <t>IT Department</t>
  </si>
  <si>
    <t>Age</t>
  </si>
  <si>
    <t>Gender</t>
  </si>
  <si>
    <t xml:space="preserve">Employee Name </t>
  </si>
  <si>
    <t>COUNT IF</t>
  </si>
  <si>
    <t>Employee ID</t>
  </si>
  <si>
    <t>COUNT IF=</t>
  </si>
  <si>
    <t>AVERAGE IF=</t>
  </si>
  <si>
    <t>SETTINGS</t>
  </si>
  <si>
    <t>ANALYTICS</t>
  </si>
  <si>
    <t xml:space="preser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</si>
</sst>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6"/>
      <color theme="1"/>
      <name val="Aptos Narrow"/>
      <family val="2"/>
      <scheme val="minor"/>
    </font>
    <font>
      <sz val="11"/>
      <color theme="1"/>
      <name val="Times New Roman"/>
      <family val="1"/>
    </font>
    <font>
      <sz val="16"/>
      <color theme="1"/>
      <name val="Times New Roman"/>
      <family val="1"/>
    </font>
    <font>
      <b/>
      <sz val="16"/>
      <color theme="1"/>
      <name val="Times New Roman"/>
      <family val="1"/>
    </font>
    <font>
      <b/>
      <sz val="18"/>
      <color theme="1"/>
      <name val="Aptos Narrow"/>
      <family val="2"/>
      <scheme val="minor"/>
    </font>
    <font>
      <sz val="11"/>
      <color theme="0"/>
      <name val="Aptos Narrow"/>
      <family val="2"/>
      <scheme val="minor"/>
    </font>
    <font>
      <b/>
      <sz val="11"/>
      <color theme="0"/>
      <name val="Aptos Narrow"/>
      <family val="2"/>
      <scheme val="minor"/>
    </font>
    <font>
      <sz val="10"/>
      <name val="Arial"/>
      <family val="2"/>
    </font>
    <font>
      <b/>
      <sz val="11"/>
      <color rgb="FFFFFFFF"/>
      <name val="Arial"/>
      <family val="2"/>
    </font>
    <font>
      <b/>
      <sz val="11"/>
      <color theme="1"/>
      <name val="Aptos Narrow"/>
      <family val="2"/>
      <scheme val="minor"/>
    </font>
    <font>
      <b/>
      <sz val="20"/>
      <color theme="0"/>
      <name val="Calibri"/>
      <family val="2"/>
    </font>
  </fonts>
  <fills count="6">
    <fill>
      <patternFill patternType="none"/>
    </fill>
    <fill>
      <patternFill patternType="gray125"/>
    </fill>
    <fill>
      <patternFill patternType="solid">
        <fgColor theme="1"/>
        <bgColor indexed="64"/>
      </patternFill>
    </fill>
    <fill>
      <patternFill patternType="solid">
        <fgColor theme="5" tint="0.59999389629810485"/>
        <bgColor indexed="64"/>
      </patternFill>
    </fill>
    <fill>
      <patternFill patternType="solid">
        <fgColor rgb="FF1F4E5F"/>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left" vertical="center" indent="1"/>
    </xf>
    <xf numFmtId="0" fontId="1" fillId="0" borderId="0" xfId="0" applyFont="1" applyAlignment="1">
      <alignment horizontal="left" vertical="center" indent="1"/>
    </xf>
    <xf numFmtId="0" fontId="4" fillId="0" borderId="0" xfId="0" applyFont="1"/>
    <xf numFmtId="0" fontId="4" fillId="0" borderId="0" xfId="0" applyFont="1" applyAlignment="1">
      <alignment vertical="center"/>
    </xf>
    <xf numFmtId="0" fontId="6" fillId="2" borderId="0" xfId="0" applyFont="1" applyFill="1"/>
    <xf numFmtId="0" fontId="6" fillId="2" borderId="0" xfId="0" applyFont="1" applyFill="1" applyAlignment="1">
      <alignment horizontal="left"/>
    </xf>
    <xf numFmtId="0" fontId="0" fillId="3" borderId="0" xfId="0" applyFill="1" applyAlignment="1">
      <alignment horizontal="left"/>
    </xf>
    <xf numFmtId="0" fontId="0" fillId="3" borderId="0" xfId="0" applyFill="1"/>
    <xf numFmtId="0" fontId="8" fillId="0" borderId="0" xfId="0" applyFont="1"/>
    <xf numFmtId="14" fontId="0" fillId="0" borderId="0" xfId="0" applyNumberFormat="1"/>
    <xf numFmtId="0" fontId="7" fillId="0" borderId="0" xfId="0" applyFont="1"/>
    <xf numFmtId="0" fontId="9" fillId="4" borderId="0" xfId="0" applyFont="1" applyFill="1" applyAlignment="1">
      <alignment horizontal="center" vertical="center"/>
    </xf>
    <xf numFmtId="0" fontId="7" fillId="5" borderId="0" xfId="0" applyFont="1" applyFill="1"/>
    <xf numFmtId="0" fontId="10" fillId="0" borderId="0" xfId="0" applyFont="1"/>
    <xf numFmtId="0" fontId="5" fillId="0" borderId="0" xfId="0" applyFont="1" applyAlignment="1">
      <alignment horizontal="center"/>
    </xf>
    <xf numFmtId="0" fontId="0" fillId="0" borderId="0" xfId="0" applyAlignment="1">
      <alignment horizontal="center"/>
    </xf>
    <xf numFmtId="0" fontId="0" fillId="2" borderId="0" xfId="0" applyFill="1"/>
    <xf numFmtId="0" fontId="11" fillId="2" borderId="0" xfId="0" applyFont="1" applyFill="1"/>
    <xf numFmtId="0" fontId="10" fillId="2" borderId="0" xfId="0" applyFont="1" applyFill="1"/>
  </cellXfs>
  <cellStyles count="1">
    <cellStyle name="Normal" xfId="0" builtinId="0"/>
  </cellStyles>
  <dxfs count="36">
    <dxf>
      <font>
        <color rgb="FF006100"/>
      </font>
      <fill>
        <patternFill>
          <bgColor rgb="FFC6EFCE"/>
        </patternFill>
      </fill>
    </dxf>
    <dxf>
      <fill>
        <patternFill>
          <bgColor theme="4" tint="0.79998168889431442"/>
        </patternFill>
      </fill>
    </dxf>
    <dxf>
      <fill>
        <patternFill>
          <bgColor theme="9" tint="0.59996337778862885"/>
        </patternFill>
      </fill>
    </dxf>
    <dxf>
      <fill>
        <patternFill>
          <bgColor theme="9" tint="-0.24994659260841701"/>
        </patternFill>
      </fill>
    </dxf>
    <dxf>
      <fill>
        <patternFill>
          <bgColor theme="5" tint="0.59996337778862885"/>
        </patternFill>
      </fill>
    </dxf>
    <dxf>
      <fill>
        <patternFill>
          <bgColor theme="5" tint="0.59999389629810485"/>
        </patternFill>
      </fill>
    </dxf>
    <dxf>
      <font>
        <color theme="0"/>
      </font>
    </dxf>
    <dxf>
      <fill>
        <patternFill patternType="solid">
          <bgColor theme="1"/>
        </patternFill>
      </fill>
    </dxf>
    <dxf>
      <font>
        <color theme="0"/>
      </font>
    </dxf>
    <dxf>
      <fill>
        <patternFill patternType="solid">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2"/>
        </patternFill>
      </fill>
    </dxf>
    <dxf>
      <fill>
        <patternFill patternType="solid">
          <bgColor theme="2"/>
        </patternFill>
      </fill>
    </dxf>
    <dxf>
      <fill>
        <patternFill>
          <bgColor theme="5" tint="0.59999389629810485"/>
        </patternFill>
      </fill>
    </dxf>
    <dxf>
      <font>
        <color theme="0"/>
      </font>
    </dxf>
    <dxf>
      <fill>
        <patternFill patternType="solid">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2"/>
        </patternFill>
      </fill>
    </dxf>
    <dxf>
      <fill>
        <patternFill>
          <bgColor theme="5" tint="0.59999389629810485"/>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[Kanishka Singal HR Final Dashboard Revised.xlsx]HR Dashboard!PivotTable1</c:name>
    <c:fmtId val="9"/>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pivotFmt>
      <c:pivotFmt>
        <c:idx val="9"/>
        <c:spPr>
          <a:solidFill>
            <a:schemeClr val="accent3">
              <a:lumMod val="40000"/>
              <a:lumOff val="60000"/>
            </a:schemeClr>
          </a:solidFill>
          <a:ln>
            <a:noFill/>
          </a:ln>
          <a:effectLst/>
        </c:spPr>
      </c:pivotFmt>
      <c:pivotFmt>
        <c:idx val="10"/>
        <c:spPr>
          <a:solidFill>
            <a:srgbClr val="00B0F0"/>
          </a:solidFill>
          <a:ln>
            <a:noFill/>
          </a:ln>
          <a:effectLst/>
        </c:spPr>
      </c:pivotFmt>
      <c:pivotFmt>
        <c:idx val="11"/>
        <c:spPr>
          <a:solidFill>
            <a:srgbClr val="FFC000"/>
          </a:solidFill>
          <a:ln>
            <a:noFill/>
          </a:ln>
          <a:effectLst/>
        </c:spPr>
      </c:pivotFmt>
      <c:pivotFmt>
        <c:idx val="12"/>
        <c:spPr>
          <a:solidFill>
            <a:schemeClr val="tx2">
              <a:lumMod val="25000"/>
              <a:lumOff val="75000"/>
            </a:schemeClr>
          </a:solidFill>
          <a:ln>
            <a:noFill/>
          </a:ln>
          <a:effectLst/>
        </c:spPr>
      </c:pivotFmt>
      <c:pivotFmt>
        <c:idx val="13"/>
        <c:spPr>
          <a:solidFill>
            <a:schemeClr val="accent5">
              <a:lumMod val="40000"/>
              <a:lumOff val="60000"/>
            </a:schemeClr>
          </a:solidFill>
          <a:ln>
            <a:noFill/>
          </a:ln>
          <a:effectLst/>
        </c:spPr>
      </c:pivotFmt>
    </c:pivotFmts>
    <c:plotArea>
      <c:layout/>
      <c:barChart>
        <c:barDir val="col"/>
        <c:grouping val="clustered"/>
        <c:varyColors val="0"/>
        <c:ser>
          <c:idx val="0"/>
          <c:order val="0"/>
          <c:tx>
            <c:strRef>
              <c:f>'HR Dashboard'!$G$3</c:f>
              <c:strCache>
                <c:ptCount val="1"/>
                <c:pt idx="0">
                  <c:v>Total</c:v>
                </c:pt>
              </c:strCache>
            </c:strRef>
          </c:tx>
          <c:spPr>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3-45A1-4E6D-88A2-7E5A09697045}"/>
              </c:ext>
            </c:extLst>
          </c:dPt>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0-45A1-4E6D-88A2-7E5A09697045}"/>
              </c:ext>
            </c:extLst>
          </c:dPt>
          <c:dPt>
            <c:idx val="2"/>
            <c:invertIfNegative val="0"/>
            <c:bubble3D val="0"/>
            <c:spPr>
              <a:solidFill>
                <a:srgbClr val="00B0F0"/>
              </a:solidFill>
              <a:ln>
                <a:noFill/>
              </a:ln>
              <a:effectLst/>
            </c:spPr>
            <c:extLst>
              <c:ext xmlns:c16="http://schemas.microsoft.com/office/drawing/2014/chart" uri="{C3380CC4-5D6E-409C-BE32-E72D297353CC}">
                <c16:uniqueId val="{00000001-45A1-4E6D-88A2-7E5A09697045}"/>
              </c:ext>
            </c:extLst>
          </c:dPt>
          <c:dPt>
            <c:idx val="3"/>
            <c:invertIfNegative val="0"/>
            <c:bubble3D val="0"/>
            <c:spPr>
              <a:solidFill>
                <a:srgbClr val="FFC000"/>
              </a:solidFill>
              <a:ln>
                <a:noFill/>
              </a:ln>
              <a:effectLst/>
            </c:spPr>
            <c:extLst>
              <c:ext xmlns:c16="http://schemas.microsoft.com/office/drawing/2014/chart" uri="{C3380CC4-5D6E-409C-BE32-E72D297353CC}">
                <c16:uniqueId val="{00000004-45A1-4E6D-88A2-7E5A09697045}"/>
              </c:ext>
            </c:extLst>
          </c:dPt>
          <c:dPt>
            <c:idx val="4"/>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2-45A1-4E6D-88A2-7E5A09697045}"/>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45A1-4E6D-88A2-7E5A096970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'HR Dashboard'!$F$4:$F$10</c:f>
              <c:strCache>
                <c:ptCount val="6"/>
                <c:pt idx="0">
                  <c:v>Finance</c:v>
                </c:pt>
                <c:pt idx="1">
                  <c:v>HR</c:v>
                </c:pt>
                <c:pt idx="2">
                  <c:v>IT Support</c:v>
                </c:pt>
                <c:pt idx="3">
                  <c:v>Marketing</c:v>
                </c:pt>
                <c:pt idx="4">
                  <c:v>Operations</c:v>
                </c:pt>
                <c:pt idx="5">
                  <c:v>Sales</c:v>
                </c:pt>
              </c:strCache>
            </c:strRef>
          </c:cat>
          <c:val>
            <c:numRef>
              <c:f>'HR Dashboard'!$G$4:$G$10</c:f>
              <c:numCache>
                <c:formatCode>General</c:formatCode>
                <c:ptCount val="6"/>
                <c:pt idx="0">
                  <c:v>4</c:v>
                </c:pt>
                <c:pt idx="1">
                  <c:v>3</c:v>
                </c:pt>
                <c:pt idx="2">
                  <c:v>4</c:v>
                </c:pt>
                <c:pt idx="3">
                  <c:v>1</c:v>
                </c:pt>
                <c:pt idx="4">
                  <c:v>2</c:v>
                </c:pt>
                <c:pt idx="5">
                  <c:v>4</c:v>
                </c:pt>
              </c:numCache>
            </c:numRef>
          </c:val>
          <c:extLst>
            <c:ext xmlns:c16="http://schemas.microsoft.com/office/drawing/2014/chart" uri="{C3380CC4-5D6E-409C-BE32-E72D297353CC}">
              <c16:uniqueId val="{00000006-45A1-4E6D-88A2-7E5A09697045}"/>
            </c:ext>
          </c:extLst>
        </c:ser>
        <c:dLbls>
          <c:dLblPos val="inEnd"/>
          <c:showLegendKey val="0"/>
          <c:showVal val="1"/>
          <c:showCatName val="0"/>
          <c:showSerName val="0"/>
          <c:showPercent val="0"/>
          <c:showBubbleSize val="0"/>
        </c:dLbls>
        <c:gapWidth val="80"/>
        <c:overlap val="25"/>
        <c:axId val="2002621728"/>
        <c:axId val="1999950960"/>
      </c:barChart>
      <c:catAx>
        <c:axId val="200262172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99950960"/>
        <c:crosses val="autoZero"/>
        <c:auto val="1"/>
        <c:lblAlgn val="ctr"/>
        <c:lblOffset val="100"/>
        <c:noMultiLvlLbl val="0"/>
      </c:catAx>
      <c:valAx>
        <c:axId val="1999950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0262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[Kanishka Singal HR Final Dashboard Revised.xlsx]HR Dashboard!PivotTable2</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'HR Dashboard'!$G$12</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C2A-4BCD-A166-5997D4F3196F}"/>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C2A-4BCD-A166-5997D4F3196F}"/>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C2A-4BCD-A166-5997D4F319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'HR Dashboard'!$F$13:$F$16</c:f>
              <c:strCache>
                <c:ptCount val="3"/>
                <c:pt idx="0">
                  <c:v>Executive</c:v>
                </c:pt>
                <c:pt idx="1">
                  <c:v>Senior Executive</c:v>
                </c:pt>
                <c:pt idx="2">
                  <c:v>Trainee</c:v>
                </c:pt>
              </c:strCache>
            </c:strRef>
          </c:cat>
          <c:val>
            <c:numRef>
              <c:f>'HR Dashboard'!$G$13:$G$16</c:f>
              <c:numCache>
                <c:formatCode>General</c:formatCode>
                <c:ptCount val="3"/>
                <c:pt idx="0">
                  <c:v>10</c:v>
                </c:pt>
                <c:pt idx="1">
                  <c:v>6</c:v>
                </c:pt>
                <c:pt idx="2">
                  <c:v>2</c:v>
                </c:pt>
              </c:numCache>
            </c:numRef>
          </c:val>
          <c:extLst>
            <c:ext xmlns:c16="http://schemas.microsoft.com/office/drawing/2014/chart" uri="{C3380CC4-5D6E-409C-BE32-E72D297353CC}">
              <c16:uniqueId val="{00000006-1C2A-4BCD-A166-5997D4F3196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[Kanishka Singal HR Final Dashboard Revised.xlsx]HR Dashboard!PivotTable1</c:name>
    <c:fmtId val="1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rgbClr val="FFFF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'HR Dashboard'!$G$3</c:f>
              <c:strCache>
                <c:ptCount val="1"/>
                <c:pt idx="0">
                  <c:v>Total</c:v>
                </c:pt>
              </c:strCache>
            </c:strRef>
          </c:tx>
          <c:spPr>
            <a:ln w="22225" cap="rnd">
              <a:solidFill>
                <a:schemeClr val="accent1"/>
              </a:solidFill>
              <a:round/>
            </a:ln>
            <a:effectLst/>
          </c:spPr>
          <c:marker>
            <c:symbol val="diamond"/>
            <c:size val="6"/>
            <c:spPr>
              <a:solidFill>
                <a:srgbClr val="FFFF00"/>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'HR Dashboard'!$F$4:$F$10</c:f>
              <c:strCache>
                <c:ptCount val="6"/>
                <c:pt idx="0">
                  <c:v>Finance</c:v>
                </c:pt>
                <c:pt idx="1">
                  <c:v>HR</c:v>
                </c:pt>
                <c:pt idx="2">
                  <c:v>IT Support</c:v>
                </c:pt>
                <c:pt idx="3">
                  <c:v>Marketing</c:v>
                </c:pt>
                <c:pt idx="4">
                  <c:v>Operations</c:v>
                </c:pt>
                <c:pt idx="5">
                  <c:v>Sales</c:v>
                </c:pt>
              </c:strCache>
            </c:strRef>
          </c:cat>
          <c:val>
            <c:numRef>
              <c:f>'HR Dashboard'!$G$4:$G$10</c:f>
              <c:numCache>
                <c:formatCode>General</c:formatCode>
                <c:ptCount val="6"/>
                <c:pt idx="0">
                  <c:v>4</c:v>
                </c:pt>
                <c:pt idx="1">
                  <c:v>3</c:v>
                </c:pt>
                <c:pt idx="2">
                  <c:v>4</c:v>
                </c:pt>
                <c:pt idx="3">
                  <c:v>1</c:v>
                </c:pt>
                <c:pt idx="4">
                  <c:v>2</c:v>
                </c:pt>
                <c:pt idx="5">
                  <c:v>4</c:v>
                </c:pt>
              </c:numCache>
            </c:numRef>
          </c:val>
          <c:smooth val="0"/>
          <c:extLst>
            <c:ext xmlns:c16="http://schemas.microsoft.com/office/drawing/2014/chart" uri="{C3380CC4-5D6E-409C-BE32-E72D297353CC}">
              <c16:uniqueId val="{00000000-7553-416F-BD7F-06D60F2A2D73}"/>
            </c:ext>
          </c:extLst>
        </c:ser>
        <c:dLbls>
          <c:dLblPos val="ctr"/>
          <c:showLegendKey val="0"/>
          <c:showVal val="1"/>
          <c:showCatName val="0"/>
          <c:showSerName val="0"/>
          <c:showPercent val="0"/>
          <c:showBubbleSize val="0"/>
        </c:dLbls>
        <c:marker val="1"/>
        <c:smooth val="0"/>
        <c:axId val="1944138528"/>
        <c:axId val="1306980368"/>
      </c:lineChart>
      <c:catAx>
        <c:axId val="194413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6980368"/>
        <c:crosses val="autoZero"/>
        <c:auto val="1"/>
        <c:lblAlgn val="ctr"/>
        <c:lblOffset val="100"/>
        <c:noMultiLvlLbl val="0"/>
      </c:catAx>
      <c:valAx>
        <c:axId val="130698036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1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7</xdr:col>
      <xdr:colOff>99749</xdr:colOff>
      <xdr:row>19</xdr:row>
      <xdr:rowOff>53316</xdr:rowOff>
    </xdr:from>
    <xdr:to>
      <xdr:col>14</xdr:col>
      <xdr:colOff>269802</xdr:colOff>
      <xdr:row>34</xdr:row>
      <xdr:rowOff>84066</xdr:rowOff>
    </xdr:to>
    <xdr:graphicFrame macro="">
      <xdr:nvGraphicFramePr>
        <xdr:cNvPr id="2" name="Chart 1">
          <a:extLst>
            <a:ext uri="{FF2B5EF4-FFF2-40B4-BE49-F238E27FC236}">
              <a16:creationId xmlns:a16="http://schemas.microsoft.com/office/drawing/2014/main" id="{DA4099C0-67B2-4DC9-B43A-647EA8986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443797</xdr:colOff>
      <xdr:row>19</xdr:row>
      <xdr:rowOff>20149</xdr:rowOff>
    </xdr:from>
    <xdr:to>
      <xdr:col>22</xdr:col>
      <xdr:colOff>138997</xdr:colOff>
      <xdr:row>34</xdr:row>
      <xdr:rowOff>4748</xdr:rowOff>
    </xdr:to>
    <xdr:graphicFrame macro="">
      <xdr:nvGraphicFramePr>
        <xdr:cNvPr id="3" name="Chart 2">
          <a:extLst>
            <a:ext uri="{FF2B5EF4-FFF2-40B4-BE49-F238E27FC236}">
              <a16:creationId xmlns:a16="http://schemas.microsoft.com/office/drawing/2014/main" id="{033C6D99-50A5-4A9F-98D5-51AE6D099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23</xdr:col>
      <xdr:colOff>81803</xdr:colOff>
      <xdr:row>3</xdr:row>
      <xdr:rowOff>169524</xdr:rowOff>
    </xdr:from>
    <xdr:ext cx="3325258" cy="1397927"/>
    <mc:AlternateContent xmlns:mc="http://schemas.openxmlformats.org/markup-compatibility/2006" xmlns:tsle="http://schemas.microsoft.com/office/drawing/2012/timeslicer">
      <mc:Choice Requires="tsle">
        <xdr:graphicFrame macro="">
          <xdr:nvGraphicFramePr>
            <xdr:cNvPr id="4" name="Date of Joining 1">
              <a:extLst>
                <a:ext uri="{FF2B5EF4-FFF2-40B4-BE49-F238E27FC236}">
                  <a16:creationId xmlns:a16="http://schemas.microsoft.com/office/drawing/2014/main" id="{53B1286F-774D-4751-8C43-543665CD4469}"/>
                </a:ext>
              </a:extLst>
            </xdr:cNvPr>
            <xdr:cNvGraphicFramePr/>
          </xdr:nvGraphicFramePr>
          <xdr:xfrm>
            <a:off x="0" y="0"/>
            <a:ext cx="0" cy="0"/>
          </xdr:xfrm>
          <a:graphic>
            <a:graphicData uri="http://schemas.microsoft.com/office/drawing/2012/timeslicer">
              <tsle:timeslicer name="Date of Joining 1"/>
            </a:graphicData>
          </a:graphic>
        </xdr:graphicFrame>
      </mc:Choice>
      <mc:Fallback xmlns="">
        <xdr:sp macro="" textlink="">
          <xdr:nvSpPr>
            <xdr:cNvPr id="0" name=""/>
            <xdr:cNvSpPr>
              <a:spLocks noTextEdit="1"/>
            </xdr:cNvSpPr>
          </xdr:nvSpPr>
          <xdr:spPr>
            <a:xfrm>
              <a:off x="12540941" y="727886"/>
              <a:ext cx="3325258" cy="13979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8</xdr:col>
      <xdr:colOff>382442</xdr:colOff>
      <xdr:row>2</xdr:row>
      <xdr:rowOff>57728</xdr:rowOff>
    </xdr:from>
    <xdr:ext cx="2627507" cy="2643866"/>
    <mc:AlternateContent xmlns:mc="http://schemas.openxmlformats.org/markup-compatibility/2006" xmlns:a14="http://schemas.microsoft.com/office/drawing/2010/main">
      <mc:Choice Requires="a14">
        <xdr:graphicFrame macro="">
          <xdr:nvGraphicFramePr>
            <xdr:cNvPr id="5" name="Branch City">
              <a:extLst>
                <a:ext uri="{FF2B5EF4-FFF2-40B4-BE49-F238E27FC236}">
                  <a16:creationId xmlns:a16="http://schemas.microsoft.com/office/drawing/2014/main" id="{D5009FEE-F178-42A8-8187-B44865CF08BF}"/>
                </a:ext>
              </a:extLst>
            </xdr:cNvPr>
            <xdr:cNvGraphicFramePr/>
          </xdr:nvGraphicFramePr>
          <xdr:xfrm>
            <a:off x="0" y="0"/>
            <a:ext cx="0" cy="0"/>
          </xdr:xfrm>
          <a:graphic>
            <a:graphicData uri="http://schemas.microsoft.com/office/drawing/2010/slicer">
              <sle:slicer xmlns:sle="http://schemas.microsoft.com/office/drawing/2010/slicer" name="Branch City"/>
            </a:graphicData>
          </a:graphic>
        </xdr:graphicFrame>
      </mc:Choice>
      <mc:Fallback xmlns="">
        <xdr:sp macro="" textlink="">
          <xdr:nvSpPr>
            <xdr:cNvPr id="0" name=""/>
            <xdr:cNvSpPr>
              <a:spLocks noTextEdit="1"/>
            </xdr:cNvSpPr>
          </xdr:nvSpPr>
          <xdr:spPr>
            <a:xfrm>
              <a:off x="3825752" y="433362"/>
              <a:ext cx="2627507" cy="2643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13</xdr:col>
      <xdr:colOff>352180</xdr:colOff>
      <xdr:row>2</xdr:row>
      <xdr:rowOff>70664</xdr:rowOff>
    </xdr:from>
    <xdr:to>
      <xdr:col>17</xdr:col>
      <xdr:colOff>162821</xdr:colOff>
      <xdr:row>15</xdr:row>
      <xdr:rowOff>116565</xdr:rowOff>
    </xdr:to>
    <mc:AlternateContent xmlns:mc="http://schemas.openxmlformats.org/markup-compatibility/2006" xmlns:a14="http://schemas.microsoft.com/office/drawing/2010/main">
      <mc:Choice Requires="a14">
        <xdr:graphicFrame macro="">
          <xdr:nvGraphicFramePr>
            <xdr:cNvPr id="6" name="Employee Name ">
              <a:extLst>
                <a:ext uri="{FF2B5EF4-FFF2-40B4-BE49-F238E27FC236}">
                  <a16:creationId xmlns:a16="http://schemas.microsoft.com/office/drawing/2014/main" id="{E7D0E4C5-C1AC-389D-5058-1AA82A11DF7A}"/>
                </a:ext>
              </a:extLst>
            </xdr:cNvPr>
            <xdr:cNvGraphicFramePr/>
          </xdr:nvGraphicFramePr>
          <xdr:xfrm>
            <a:off x="0" y="0"/>
            <a:ext cx="0" cy="0"/>
          </xdr:xfrm>
          <a:graphic>
            <a:graphicData uri="http://schemas.microsoft.com/office/drawing/2010/slicer">
              <sle:slicer xmlns:sle="http://schemas.microsoft.com/office/drawing/2010/slicer" name="Employee Name "/>
            </a:graphicData>
          </a:graphic>
        </xdr:graphicFrame>
      </mc:Choice>
      <mc:Fallback xmlns="">
        <xdr:sp macro="" textlink="">
          <xdr:nvSpPr>
            <xdr:cNvPr id="0" name=""/>
            <xdr:cNvSpPr>
              <a:spLocks noTextEdit="1"/>
            </xdr:cNvSpPr>
          </xdr:nvSpPr>
          <xdr:spPr>
            <a:xfrm>
              <a:off x="6680283" y="442905"/>
              <a:ext cx="2263054" cy="2608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31031</xdr:colOff>
      <xdr:row>2</xdr:row>
      <xdr:rowOff>76638</xdr:rowOff>
    </xdr:from>
    <xdr:to>
      <xdr:col>22</xdr:col>
      <xdr:colOff>76637</xdr:colOff>
      <xdr:row>15</xdr:row>
      <xdr:rowOff>168627</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A73B1FBF-7CA1-FB41-CC9B-8F512CAA82A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24652" y="448879"/>
              <a:ext cx="2498020" cy="2654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516339</xdr:colOff>
      <xdr:row>18</xdr:row>
      <xdr:rowOff>163102</xdr:rowOff>
    </xdr:from>
    <xdr:to>
      <xdr:col>30</xdr:col>
      <xdr:colOff>412946</xdr:colOff>
      <xdr:row>33</xdr:row>
      <xdr:rowOff>222874</xdr:rowOff>
    </xdr:to>
    <xdr:graphicFrame macro="">
      <xdr:nvGraphicFramePr>
        <xdr:cNvPr id="8" name="Chart 7">
          <a:extLst>
            <a:ext uri="{FF2B5EF4-FFF2-40B4-BE49-F238E27FC236}">
              <a16:creationId xmlns:a16="http://schemas.microsoft.com/office/drawing/2014/main" id="{C7492FA3-0DD3-41FA-E717-1EEE3DD48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173181</xdr:colOff>
      <xdr:row>3</xdr:row>
      <xdr:rowOff>43296</xdr:rowOff>
    </xdr:from>
    <xdr:to>
      <xdr:col>2</xdr:col>
      <xdr:colOff>43294</xdr:colOff>
      <xdr:row>8</xdr:row>
      <xdr:rowOff>43296</xdr:rowOff>
    </xdr:to>
    <xdr:pic>
      <xdr:nvPicPr>
        <xdr:cNvPr id="10" name="Graphic 9" descr="Home with solid fill">
          <a:extLst>
            <a:ext uri="{FF2B5EF4-FFF2-40B4-BE49-F238E27FC236}">
              <a16:creationId xmlns:a16="http://schemas.microsoft.com/office/drawing/2014/main" id="{4CE7C41F-81A9-8828-C706-50E0BF5701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3181" y="606137"/>
          <a:ext cx="1082386" cy="1082386"/>
        </a:xfrm>
        <a:prstGeom prst="rect">
          <a:avLst/>
        </a:prstGeom>
      </xdr:spPr>
    </xdr:pic>
    <xdr:clientData/>
  </xdr:twoCellAnchor>
  <xdr:twoCellAnchor editAs="oneCell">
    <xdr:from>
      <xdr:col>0</xdr:col>
      <xdr:colOff>101022</xdr:colOff>
      <xdr:row>13</xdr:row>
      <xdr:rowOff>0</xdr:rowOff>
    </xdr:from>
    <xdr:to>
      <xdr:col>2</xdr:col>
      <xdr:colOff>28863</xdr:colOff>
      <xdr:row>18</xdr:row>
      <xdr:rowOff>57727</xdr:rowOff>
    </xdr:to>
    <xdr:pic>
      <xdr:nvPicPr>
        <xdr:cNvPr id="12" name="Graphic 11" descr="Gears with solid fill">
          <a:extLst>
            <a:ext uri="{FF2B5EF4-FFF2-40B4-BE49-F238E27FC236}">
              <a16:creationId xmlns:a16="http://schemas.microsoft.com/office/drawing/2014/main" id="{885CA4BD-4EA4-492F-F4D7-38E61166B9E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1022" y="2438977"/>
          <a:ext cx="1140114" cy="1140114"/>
        </a:xfrm>
        <a:prstGeom prst="rect">
          <a:avLst/>
        </a:prstGeom>
      </xdr:spPr>
    </xdr:pic>
    <xdr:clientData/>
  </xdr:twoCellAnchor>
  <xdr:twoCellAnchor editAs="oneCell">
    <xdr:from>
      <xdr:col>0</xdr:col>
      <xdr:colOff>0</xdr:colOff>
      <xdr:row>22</xdr:row>
      <xdr:rowOff>0</xdr:rowOff>
    </xdr:from>
    <xdr:to>
      <xdr:col>1</xdr:col>
      <xdr:colOff>308264</xdr:colOff>
      <xdr:row>26</xdr:row>
      <xdr:rowOff>19627</xdr:rowOff>
    </xdr:to>
    <xdr:pic>
      <xdr:nvPicPr>
        <xdr:cNvPr id="14" name="Graphic 13" descr="Bar graph with upward trend with solid fill">
          <a:extLst>
            <a:ext uri="{FF2B5EF4-FFF2-40B4-BE49-F238E27FC236}">
              <a16:creationId xmlns:a16="http://schemas.microsoft.com/office/drawing/2014/main" id="{274661F2-13F5-69C9-BA49-B1E7386F95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4127500"/>
          <a:ext cx="914400" cy="914400"/>
        </a:xfrm>
        <a:prstGeom prst="rect">
          <a:avLst/>
        </a:prstGeom>
      </xdr:spPr>
    </xdr:pic>
    <xdr:clientData/>
  </xdr:twoCellAnchor>
  <xdr:twoCellAnchor editAs="oneCell">
    <xdr:from>
      <xdr:col>0</xdr:col>
      <xdr:colOff>0</xdr:colOff>
      <xdr:row>22</xdr:row>
      <xdr:rowOff>43296</xdr:rowOff>
    </xdr:from>
    <xdr:to>
      <xdr:col>1</xdr:col>
      <xdr:colOff>505114</xdr:colOff>
      <xdr:row>27</xdr:row>
      <xdr:rowOff>72159</xdr:rowOff>
    </xdr:to>
    <xdr:pic>
      <xdr:nvPicPr>
        <xdr:cNvPr id="16" name="Graphic 15" descr="Pie chart with solid fill">
          <a:extLst>
            <a:ext uri="{FF2B5EF4-FFF2-40B4-BE49-F238E27FC236}">
              <a16:creationId xmlns:a16="http://schemas.microsoft.com/office/drawing/2014/main" id="{9D49A01E-D953-C374-227C-F7D867FB543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4170796"/>
          <a:ext cx="1111250" cy="1111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actice%20Book8.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shka" refreshedDate="46259.842520486112" createdVersion="8" refreshedVersion="8" minRefreshableVersion="3" recordCount="20" xr:uid="{71E53022-E111-4807-8964-85844F2B64C8}">
  <cacheSource type="worksheet">
    <worksheetSource ref="A1:L1048576" sheet="Sheet1" r:id="rId2"/>
  </cacheSource>
  <cacheFields count="15">
    <cacheField name="Employee ID" numFmtId="0">
      <sharedItems containsBlank="1" count="19">
        <s v="EMP1001"/>
        <s v="EMP1002"/>
        <s v="EMP1003"/>
        <s v="EMP1004"/>
        <s v="EMP1005"/>
        <s v="EMP1006"/>
        <s v="EMP1007"/>
        <s v="EMP1008"/>
        <s v="EMP1009"/>
        <s v="EMP1010"/>
        <s v="EMP1011"/>
        <s v="EMP1012"/>
        <s v="EMP1013"/>
        <s v="EMP1014"/>
        <s v="EMP1015"/>
        <s v="EMP1016"/>
        <s v="EMP1017"/>
        <s v="EMP1018"/>
        <m/>
      </sharedItems>
    </cacheField>
    <cacheField name="COUNT IF" numFmtId="0">
      <sharedItems containsString="0" containsBlank="1" containsNumber="1" containsInteger="1" minValue="1" maxValue="1"/>
    </cacheField>
    <cacheField name="Employee Name " numFmtId="0">
      <sharedItems containsBlank="1" count="19">
        <s v="Aanya Kumar"/>
        <s v="Krishna Singh"/>
        <s v="Aarav Reddy"/>
        <s v="Dhruv Bhatt"/>
        <s v="Zoravar Joshi"/>
        <s v="Kavya Kapoor"/>
        <s v="Ishita Bhatt"/>
        <s v="Pooja Singh"/>
        <s v="Sneha Mehta"/>
        <s v="Tara Agarwal"/>
        <s v="Kavya Nair"/>
        <s v="Pooja Sharma"/>
        <s v="Rohan Menon"/>
        <s v="Siddharth Sharma"/>
        <s v="Yash Gupta"/>
        <s v="Siddharth Bhatt"/>
        <s v="Esha Iyer"/>
        <s v="Vivaan Singh"/>
        <m/>
      </sharedItems>
    </cacheField>
    <cacheField name="Gender" numFmtId="0">
      <sharedItems containsBlank="1" count="3">
        <s v="Female"/>
        <s v="Male"/>
        <m/>
      </sharedItems>
    </cacheField>
    <cacheField name="Age" numFmtId="0">
      <sharedItems containsString="0" containsBlank="1" containsNumber="1" containsInteger="1" minValue="22" maxValue="44"/>
    </cacheField>
    <cacheField name="IT Department" numFmtId="0">
      <sharedItems containsBlank="1" count="7">
        <s v="IT Support"/>
        <s v="Operations"/>
        <s v="Finance"/>
        <s v="Sales"/>
        <s v="Marketing"/>
        <s v="HR"/>
        <m/>
      </sharedItems>
    </cacheField>
    <cacheField name="Branch City" numFmtId="0">
      <sharedItems containsBlank="1" count="8">
        <s v="Mumbai"/>
        <s v="Pune"/>
        <s v="Bangalore"/>
        <s v="Ahmedabad"/>
        <s v="Delhi"/>
        <s v="Hyderabad"/>
        <s v="Chennai"/>
        <m/>
      </sharedItems>
    </cacheField>
    <cacheField name="Designation" numFmtId="0">
      <sharedItems containsBlank="1" count="4">
        <s v="Executive"/>
        <s v="Senior Executive"/>
        <s v="Trainee"/>
        <m/>
      </sharedItems>
    </cacheField>
    <cacheField name="Date of Joining" numFmtId="0">
      <sharedItems containsNonDate="0" containsDate="1" containsString="0" containsBlank="1" minDate="2020-06-09T00:00:00" maxDate="2025-08-07T00:00:00" count="19">
        <d v="2025-02-11T00:00:00"/>
        <d v="2025-02-10T00:00:00"/>
        <d v="2021-05-31T00:00:00"/>
        <d v="2025-01-05T00:00:00"/>
        <d v="2021-07-22T00:00:00"/>
        <d v="2023-02-25T00:00:00"/>
        <d v="2020-10-31T00:00:00"/>
        <d v="2022-07-16T00:00:00"/>
        <d v="2020-08-08T00:00:00"/>
        <d v="2021-06-17T00:00:00"/>
        <d v="2023-04-26T00:00:00"/>
        <d v="2022-10-25T00:00:00"/>
        <d v="2024-09-10T00:00:00"/>
        <d v="2023-01-26T00:00:00"/>
        <d v="2020-06-09T00:00:00"/>
        <d v="2022-06-30T00:00:00"/>
        <d v="2025-08-06T00:00:00"/>
        <d v="2024-10-06T00:00:00"/>
        <m/>
      </sharedItems>
      <fieldGroup par="14"/>
    </cacheField>
    <cacheField name="Monthly Salary (Rs)" numFmtId="0">
      <sharedItems containsString="0" containsBlank="1" containsNumber="1" containsInteger="1" minValue="19949" maxValue="56147"/>
    </cacheField>
    <cacheField name="Age Group" numFmtId="0">
      <sharedItems containsBlank="1"/>
    </cacheField>
    <cacheField name="Count If2" numFmtId="0">
      <sharedItems containsNonDate="0" containsString="0" containsBlank="1"/>
    </cacheField>
    <cacheField name="Months (Date of Joining)" numFmtId="0" databaseField="0">
      <fieldGroup base="8">
        <rangePr groupBy="months" startDate="2020-06-09T00:00:00" endDate="2025-08-07T00:00:00"/>
        <groupItems count="14">
          <s v="&lt;09-06-2020"/>
          <s v="Jan"/>
          <s v="Feb"/>
          <s v="Mar"/>
          <s v="Apr"/>
          <s v="May"/>
          <s v="Jun"/>
          <s v="Jul"/>
          <s v="Aug"/>
          <s v="Sep"/>
          <s v="Oct"/>
          <s v="Nov"/>
          <s v="Dec"/>
          <s v="&gt;07-08-2025"/>
        </groupItems>
      </fieldGroup>
    </cacheField>
    <cacheField name="Quarters (Date of Joining)" numFmtId="0" databaseField="0">
      <fieldGroup base="8">
        <rangePr groupBy="quarters" startDate="2020-06-09T00:00:00" endDate="2025-08-07T00:00:00"/>
        <groupItems count="6">
          <s v="&lt;09-06-2020"/>
          <s v="Qtr1"/>
          <s v="Qtr2"/>
          <s v="Qtr3"/>
          <s v="Qtr4"/>
          <s v="&gt;07-08-2025"/>
        </groupItems>
      </fieldGroup>
    </cacheField>
    <cacheField name="Years (Date of Joining)" numFmtId="0" databaseField="0">
      <fieldGroup base="8">
        <rangePr groupBy="years" startDate="2020-06-09T00:00:00" endDate="2025-08-07T00:00:00"/>
        <groupItems count="8">
          <s v="&lt;09-06-2020"/>
          <s v="2020"/>
          <s v="2021"/>
          <s v="2022"/>
          <s v="2023"/>
          <s v="2024"/>
          <s v="2025"/>
          <s v="&gt;07-08-2025"/>
        </groupItems>
      </fieldGroup>
    </cacheField>
  </cacheFields>
  <extLst>
    <ext xmlns:x14="http://schemas.microsoft.com/office/spreadsheetml/2009/9/main" uri="{725AE2AE-9491-48be-B2B4-4EB974FC3084}">
      <x14:pivotCacheDefinition pivotCacheId="284718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1"/>
    <x v="0"/>
    <x v="0"/>
    <n v="26"/>
    <x v="0"/>
    <x v="0"/>
    <x v="0"/>
    <x v="0"/>
    <n v="27424"/>
    <s v="Young"/>
    <m/>
  </r>
  <r>
    <x v="1"/>
    <n v="1"/>
    <x v="1"/>
    <x v="1"/>
    <n v="22"/>
    <x v="1"/>
    <x v="1"/>
    <x v="0"/>
    <x v="1"/>
    <n v="32873"/>
    <s v="Young"/>
    <m/>
  </r>
  <r>
    <x v="2"/>
    <n v="1"/>
    <x v="2"/>
    <x v="1"/>
    <n v="32"/>
    <x v="2"/>
    <x v="2"/>
    <x v="1"/>
    <x v="2"/>
    <n v="52029"/>
    <s v="Young"/>
    <m/>
  </r>
  <r>
    <x v="3"/>
    <n v="1"/>
    <x v="3"/>
    <x v="1"/>
    <n v="23"/>
    <x v="0"/>
    <x v="3"/>
    <x v="0"/>
    <x v="3"/>
    <n v="28045"/>
    <s v="Young"/>
    <m/>
  </r>
  <r>
    <x v="4"/>
    <n v="1"/>
    <x v="4"/>
    <x v="1"/>
    <n v="44"/>
    <x v="3"/>
    <x v="4"/>
    <x v="0"/>
    <x v="4"/>
    <n v="38665"/>
    <s v="Old"/>
    <m/>
  </r>
  <r>
    <x v="5"/>
    <n v="1"/>
    <x v="5"/>
    <x v="0"/>
    <n v="42"/>
    <x v="2"/>
    <x v="2"/>
    <x v="0"/>
    <x v="5"/>
    <n v="31820"/>
    <s v="Old"/>
    <m/>
  </r>
  <r>
    <x v="6"/>
    <n v="1"/>
    <x v="6"/>
    <x v="0"/>
    <n v="39"/>
    <x v="0"/>
    <x v="1"/>
    <x v="1"/>
    <x v="6"/>
    <n v="56147"/>
    <s v="Young"/>
    <m/>
  </r>
  <r>
    <x v="7"/>
    <n v="1"/>
    <x v="7"/>
    <x v="0"/>
    <n v="23"/>
    <x v="4"/>
    <x v="4"/>
    <x v="1"/>
    <x v="7"/>
    <n v="54145"/>
    <s v="Young"/>
    <m/>
  </r>
  <r>
    <x v="8"/>
    <n v="1"/>
    <x v="8"/>
    <x v="0"/>
    <n v="37"/>
    <x v="5"/>
    <x v="3"/>
    <x v="0"/>
    <x v="8"/>
    <n v="30339"/>
    <s v="Young"/>
    <m/>
  </r>
  <r>
    <x v="9"/>
    <n v="1"/>
    <x v="9"/>
    <x v="0"/>
    <n v="40"/>
    <x v="5"/>
    <x v="5"/>
    <x v="0"/>
    <x v="9"/>
    <n v="28266"/>
    <s v="Young"/>
    <m/>
  </r>
  <r>
    <x v="10"/>
    <n v="1"/>
    <x v="10"/>
    <x v="0"/>
    <n v="43"/>
    <x v="5"/>
    <x v="0"/>
    <x v="1"/>
    <x v="10"/>
    <n v="53504"/>
    <s v="Old"/>
    <m/>
  </r>
  <r>
    <x v="11"/>
    <n v="1"/>
    <x v="11"/>
    <x v="0"/>
    <n v="25"/>
    <x v="0"/>
    <x v="6"/>
    <x v="1"/>
    <x v="11"/>
    <n v="44655"/>
    <s v="Young"/>
    <m/>
  </r>
  <r>
    <x v="12"/>
    <n v="1"/>
    <x v="12"/>
    <x v="1"/>
    <n v="38"/>
    <x v="3"/>
    <x v="6"/>
    <x v="1"/>
    <x v="12"/>
    <n v="47517"/>
    <s v="Young"/>
    <m/>
  </r>
  <r>
    <x v="13"/>
    <n v="1"/>
    <x v="13"/>
    <x v="1"/>
    <n v="37"/>
    <x v="3"/>
    <x v="0"/>
    <x v="0"/>
    <x v="13"/>
    <n v="39626"/>
    <s v="Young"/>
    <m/>
  </r>
  <r>
    <x v="14"/>
    <n v="1"/>
    <x v="14"/>
    <x v="1"/>
    <n v="37"/>
    <x v="3"/>
    <x v="2"/>
    <x v="2"/>
    <x v="14"/>
    <n v="23404"/>
    <s v="Young"/>
    <m/>
  </r>
  <r>
    <x v="15"/>
    <n v="1"/>
    <x v="15"/>
    <x v="1"/>
    <n v="28"/>
    <x v="1"/>
    <x v="1"/>
    <x v="0"/>
    <x v="15"/>
    <n v="32537"/>
    <s v="Young"/>
    <m/>
  </r>
  <r>
    <x v="16"/>
    <n v="1"/>
    <x v="16"/>
    <x v="0"/>
    <n v="24"/>
    <x v="2"/>
    <x v="4"/>
    <x v="0"/>
    <x v="16"/>
    <n v="35075"/>
    <s v="Young"/>
    <m/>
  </r>
  <r>
    <x v="17"/>
    <n v="1"/>
    <x v="17"/>
    <x v="1"/>
    <n v="23"/>
    <x v="2"/>
    <x v="0"/>
    <x v="2"/>
    <x v="17"/>
    <n v="19949"/>
    <s v="Young"/>
    <m/>
  </r>
  <r>
    <x v="18"/>
    <m/>
    <x v="18"/>
    <x v="2"/>
    <m/>
    <x v="6"/>
    <x v="7"/>
    <x v="3"/>
    <x v="18"/>
    <m/>
    <m/>
    <m/>
  </r>
  <r>
    <x v="18"/>
    <m/>
    <x v="18"/>
    <x v="2"/>
    <m/>
    <x v="6"/>
    <x v="7"/>
    <x v="3"/>
    <x v="1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B0623-06E6-44BB-A31A-CF77EFA97D8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F12:G16" firstHeaderRow="1" firstDataRow="1" firstDataCol="1"/>
  <pivotFields count="15">
    <pivotField dataField="1"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showAll="0"/>
    <pivotField showAll="0">
      <items count="9">
        <item x="3"/>
        <item x="2"/>
        <item x="6"/>
        <item x="4"/>
        <item x="5"/>
        <item x="0"/>
        <item x="1"/>
        <item x="7"/>
        <item t="default"/>
      </items>
    </pivotField>
    <pivotField axis="axisRow" showAll="0">
      <items count="5">
        <item x="0"/>
        <item x="1"/>
        <item x="2"/>
        <item h="1" x="3"/>
        <item t="default"/>
      </items>
    </pivotField>
    <pivotField showAll="0">
      <items count="20">
        <item x="14"/>
        <item x="8"/>
        <item x="6"/>
        <item x="2"/>
        <item x="9"/>
        <item x="4"/>
        <item x="15"/>
        <item x="7"/>
        <item x="11"/>
        <item x="13"/>
        <item x="5"/>
        <item x="10"/>
        <item x="12"/>
        <item x="17"/>
        <item x="3"/>
        <item x="1"/>
        <item x="0"/>
        <item x="16"/>
        <item x="18"/>
        <item t="default"/>
      </items>
    </pivotField>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7"/>
  </rowFields>
  <rowItems count="4">
    <i>
      <x/>
    </i>
    <i>
      <x v="1"/>
    </i>
    <i>
      <x v="2"/>
    </i>
    <i t="grand">
      <x/>
    </i>
  </rowItems>
  <colItems count="1">
    <i/>
  </colItems>
  <dataFields count="1">
    <dataField name="Count of Employee ID" fld="0" subtotal="count" baseField="0" baseItem="0"/>
  </dataFields>
  <formats count="11">
    <format dxfId="15">
      <pivotArea collapsedLevelsAreSubtotals="1" fieldPosition="0">
        <references count="1">
          <reference field="7" count="0"/>
        </references>
      </pivotArea>
    </format>
    <format dxfId="14">
      <pivotArea dataOnly="0" labelOnly="1" fieldPosition="0">
        <references count="1">
          <reference field="7" count="0"/>
        </references>
      </pivotArea>
    </format>
    <format dxfId="13">
      <pivotArea dataOnly="0" labelOnly="1" outline="0" axis="axisValues" fieldPosition="0"/>
    </format>
    <format dxfId="12">
      <pivotArea field="7" type="button" dataOnly="0" labelOnly="1" outline="0" axis="axisRow" fieldPosition="0"/>
    </format>
    <format dxfId="11">
      <pivotArea field="7" type="button" dataOnly="0" labelOnly="1" outline="0" axis="axisRow" fieldPosition="0"/>
    </format>
    <format dxfId="10">
      <pivotArea dataOnly="0" labelOnly="1" outline="0" axis="axisValues" fieldPosition="0"/>
    </format>
    <format dxfId="9">
      <pivotArea grandRow="1" outline="0" collapsedLevelsAreSubtotals="1" fieldPosition="0"/>
    </format>
    <format dxfId="8">
      <pivotArea grandRow="1" outline="0" collapsedLevelsAreSubtotals="1" fieldPosition="0"/>
    </format>
    <format dxfId="7">
      <pivotArea dataOnly="0" labelOnly="1" grandRow="1" outline="0" fieldPosition="0"/>
    </format>
    <format dxfId="6">
      <pivotArea dataOnly="0" labelOnly="1" grandRow="1" outline="0" fieldPosition="0"/>
    </format>
    <format dxfId="5">
      <pivotArea dataOnly="0" fieldPosition="0">
        <references count="1">
          <reference field="7" count="0"/>
        </references>
      </pivotArea>
    </format>
  </formats>
  <chartFormats count="4">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7" count="1" selected="0">
            <x v="0"/>
          </reference>
        </references>
      </pivotArea>
    </chartFormat>
    <chartFormat chart="16" format="6">
      <pivotArea type="data" outline="0" fieldPosition="0">
        <references count="2">
          <reference field="4294967294" count="1" selected="0">
            <x v="0"/>
          </reference>
          <reference field="7" count="1" selected="0">
            <x v="1"/>
          </reference>
        </references>
      </pivotArea>
    </chartFormat>
    <chartFormat chart="16"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D0B15-C67F-427F-9DA6-7119805CA55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8:G25" firstHeaderRow="1" firstDataRow="1" firstDataCol="1"/>
  <pivotFields count="15">
    <pivotField showAll="0"/>
    <pivotField showAll="0"/>
    <pivotField showAll="0"/>
    <pivotField showAll="0"/>
    <pivotField showAll="0"/>
    <pivotField axis="axisRow" showAll="0">
      <items count="8">
        <item x="2"/>
        <item x="5"/>
        <item x="0"/>
        <item x="4"/>
        <item x="1"/>
        <item x="3"/>
        <item h="1" x="6"/>
        <item t="default"/>
      </items>
    </pivotField>
    <pivotField showAll="0">
      <items count="9">
        <item x="3"/>
        <item x="2"/>
        <item x="6"/>
        <item x="4"/>
        <item x="5"/>
        <item x="0"/>
        <item x="1"/>
        <item x="7"/>
        <item t="default"/>
      </items>
    </pivotField>
    <pivotField showAll="0"/>
    <pivotField showAll="0">
      <items count="20">
        <item x="14"/>
        <item x="8"/>
        <item x="6"/>
        <item x="2"/>
        <item x="9"/>
        <item x="4"/>
        <item x="15"/>
        <item x="7"/>
        <item x="11"/>
        <item x="13"/>
        <item x="5"/>
        <item x="10"/>
        <item x="12"/>
        <item x="17"/>
        <item x="3"/>
        <item x="1"/>
        <item x="0"/>
        <item x="16"/>
        <item x="18"/>
        <item t="default"/>
      </items>
    </pivotField>
    <pivotField dataField="1"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5"/>
  </rowFields>
  <rowItems count="7">
    <i>
      <x/>
    </i>
    <i>
      <x v="1"/>
    </i>
    <i>
      <x v="2"/>
    </i>
    <i>
      <x v="3"/>
    </i>
    <i>
      <x v="4"/>
    </i>
    <i>
      <x v="5"/>
    </i>
    <i t="grand">
      <x/>
    </i>
  </rowItems>
  <colItems count="1">
    <i/>
  </colItems>
  <dataFields count="1">
    <dataField name="Average of Monthly Salary (Rs)" fld="9" subtotal="average" baseField="5" baseItem="0"/>
  </dataFields>
  <formats count="10">
    <format dxfId="25">
      <pivotArea dataOnly="0" fieldPosition="0">
        <references count="1">
          <reference field="5" count="0"/>
        </references>
      </pivotArea>
    </format>
    <format dxfId="24">
      <pivotArea dataOnly="0" labelOnly="1" outline="0" axis="axisValues" fieldPosition="0"/>
    </format>
    <format dxfId="23">
      <pivotArea dataOnly="0" labelOnly="1" outline="0" axis="axisValues" fieldPosition="0"/>
    </format>
    <format dxfId="22">
      <pivotArea field="5" type="button" dataOnly="0" labelOnly="1" outline="0" axis="axisRow" fieldPosition="0"/>
    </format>
    <format dxfId="21">
      <pivotArea field="5" type="button" dataOnly="0" labelOnly="1" outline="0" axis="axisRow" fieldPosition="0"/>
    </format>
    <format dxfId="20">
      <pivotArea grandRow="1" outline="0" collapsedLevelsAreSubtotals="1" fieldPosition="0"/>
    </format>
    <format dxfId="19">
      <pivotArea grandRow="1" outline="0" collapsedLevelsAreSubtotals="1" fieldPosition="0"/>
    </format>
    <format dxfId="18">
      <pivotArea dataOnly="0" labelOnly="1" grandRow="1" outline="0" fieldPosition="0"/>
    </format>
    <format dxfId="17">
      <pivotArea dataOnly="0" labelOnly="1" grandRow="1" outline="0" fieldPosition="0"/>
    </format>
    <format dxfId="16">
      <pivotArea dataOnly="0"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87B6A-6C0A-440E-A026-CF56B23A77B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F3:G10" firstHeaderRow="1" firstDataRow="1" firstDataCol="1"/>
  <pivotFields count="15">
    <pivotField showAll="0"/>
    <pivotField showAll="0"/>
    <pivotField showAll="0">
      <items count="20">
        <item x="0"/>
        <item x="2"/>
        <item x="3"/>
        <item x="16"/>
        <item x="6"/>
        <item x="5"/>
        <item x="10"/>
        <item x="1"/>
        <item x="11"/>
        <item x="7"/>
        <item x="12"/>
        <item x="15"/>
        <item x="13"/>
        <item x="8"/>
        <item x="9"/>
        <item x="17"/>
        <item x="14"/>
        <item x="4"/>
        <item x="18"/>
        <item t="default"/>
      </items>
    </pivotField>
    <pivotField showAll="0">
      <items count="4">
        <item x="0"/>
        <item x="1"/>
        <item x="2"/>
        <item t="default"/>
      </items>
    </pivotField>
    <pivotField showAll="0"/>
    <pivotField axis="axisRow" showAll="0">
      <items count="8">
        <item x="2"/>
        <item x="5"/>
        <item x="0"/>
        <item x="4"/>
        <item x="1"/>
        <item x="3"/>
        <item h="1" x="6"/>
        <item t="default"/>
      </items>
    </pivotField>
    <pivotField showAll="0">
      <items count="9">
        <item x="3"/>
        <item x="2"/>
        <item x="6"/>
        <item x="4"/>
        <item x="5"/>
        <item x="0"/>
        <item x="1"/>
        <item x="7"/>
        <item t="default"/>
      </items>
    </pivotField>
    <pivotField showAll="0"/>
    <pivotField showAll="0">
      <items count="20">
        <item x="14"/>
        <item x="8"/>
        <item x="6"/>
        <item x="2"/>
        <item x="9"/>
        <item x="4"/>
        <item x="15"/>
        <item x="7"/>
        <item x="11"/>
        <item x="13"/>
        <item x="5"/>
        <item x="10"/>
        <item x="12"/>
        <item x="17"/>
        <item x="3"/>
        <item x="1"/>
        <item x="0"/>
        <item x="16"/>
        <item x="18"/>
        <item t="default"/>
      </items>
    </pivotField>
    <pivotField dataField="1"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5"/>
  </rowFields>
  <rowItems count="7">
    <i>
      <x/>
    </i>
    <i>
      <x v="1"/>
    </i>
    <i>
      <x v="2"/>
    </i>
    <i>
      <x v="3"/>
    </i>
    <i>
      <x v="4"/>
    </i>
    <i>
      <x v="5"/>
    </i>
    <i t="grand">
      <x/>
    </i>
  </rowItems>
  <colItems count="1">
    <i/>
  </colItems>
  <dataFields count="1">
    <dataField name="Count of Monthly Salary (Rs)" fld="9" subtotal="count" baseField="5" baseItem="0"/>
  </dataFields>
  <formats count="10">
    <format dxfId="35">
      <pivotArea dataOnly="0" fieldPosition="0">
        <references count="1">
          <reference field="5" count="0"/>
        </references>
      </pivotArea>
    </format>
    <format dxfId="34">
      <pivotArea dataOnly="0" labelOnly="1" outline="0" axis="axisValues" fieldPosition="0"/>
    </format>
    <format dxfId="33">
      <pivotArea field="5" type="button" dataOnly="0" labelOnly="1" outline="0" axis="axisRow" fieldPosition="0"/>
    </format>
    <format dxfId="32">
      <pivotArea field="5" type="button" dataOnly="0" labelOnly="1" outline="0" axis="axisRow" fieldPosition="0"/>
    </format>
    <format dxfId="31">
      <pivotArea dataOnly="0" labelOnly="1" outline="0" axis="axisValues" fieldPosition="0"/>
    </format>
    <format dxfId="30">
      <pivotArea dataOnly="0" labelOnly="1" grandRow="1" outline="0" fieldPosition="0"/>
    </format>
    <format dxfId="29">
      <pivotArea dataOnly="0" labelOnly="1" grandRow="1" outline="0" fieldPosition="0"/>
    </format>
    <format dxfId="28">
      <pivotArea grandRow="1" outline="0" collapsedLevelsAreSubtotals="1" fieldPosition="0"/>
    </format>
    <format dxfId="27">
      <pivotArea grandRow="1" outline="0" collapsedLevelsAreSubtotals="1" fieldPosition="0"/>
    </format>
    <format dxfId="26">
      <pivotArea dataOnly="0" fieldPosition="0">
        <references count="1">
          <reference field="5" count="0"/>
        </references>
      </pivotArea>
    </format>
  </formats>
  <chartFormats count="8">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5" count="1" selected="0">
            <x v="0"/>
          </reference>
        </references>
      </pivotArea>
    </chartFormat>
    <chartFormat chart="9" format="9">
      <pivotArea type="data" outline="0" fieldPosition="0">
        <references count="2">
          <reference field="4294967294" count="1" selected="0">
            <x v="0"/>
          </reference>
          <reference field="5" count="1" selected="0">
            <x v="1"/>
          </reference>
        </references>
      </pivotArea>
    </chartFormat>
    <chartFormat chart="9" format="10">
      <pivotArea type="data" outline="0" fieldPosition="0">
        <references count="2">
          <reference field="4294967294" count="1" selected="0">
            <x v="0"/>
          </reference>
          <reference field="5" count="1" selected="0">
            <x v="2"/>
          </reference>
        </references>
      </pivotArea>
    </chartFormat>
    <chartFormat chart="9" format="11">
      <pivotArea type="data" outline="0" fieldPosition="0">
        <references count="2">
          <reference field="4294967294" count="1" selected="0">
            <x v="0"/>
          </reference>
          <reference field="5" count="1" selected="0">
            <x v="3"/>
          </reference>
        </references>
      </pivotArea>
    </chartFormat>
    <chartFormat chart="9" format="12">
      <pivotArea type="data" outline="0" fieldPosition="0">
        <references count="2">
          <reference field="4294967294" count="1" selected="0">
            <x v="0"/>
          </reference>
          <reference field="5" count="1" selected="0">
            <x v="4"/>
          </reference>
        </references>
      </pivotArea>
    </chartFormat>
    <chartFormat chart="9" format="13">
      <pivotArea type="data" outline="0" fieldPosition="0">
        <references count="2">
          <reference field="4294967294" count="1" selected="0">
            <x v="0"/>
          </reference>
          <reference field="5" count="1" selected="0">
            <x v="5"/>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City" xr10:uid="{46D2A3C1-12AC-4A8C-8459-D5DB1C6D2388}" sourceName="Branch City">
  <pivotTables>
    <pivotTable tabId="1" name="PivotTable1"/>
    <pivotTable tabId="1" name="PivotTable2"/>
    <pivotTable tabId="1" name="PivotTable3"/>
  </pivotTables>
  <data>
    <tabular pivotCacheId="284718603">
      <items count="8">
        <i x="3" s="1"/>
        <i x="2" s="1"/>
        <i x="6" s="1"/>
        <i x="4" s="1"/>
        <i x="5" s="1"/>
        <i x="0" s="1"/>
        <i x="1" s="1"/>
        <i x="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60DDEECA-CE6D-46D6-A385-1DD601159CE0}" sourceName="Employee Name ">
  <pivotTables>
    <pivotTable tabId="1" name="PivotTable1"/>
  </pivotTables>
  <data>
    <tabular pivotCacheId="284718603">
      <items count="19">
        <i x="0" s="1"/>
        <i x="2" s="1"/>
        <i x="3" s="1"/>
        <i x="16" s="1"/>
        <i x="6" s="1"/>
        <i x="5" s="1"/>
        <i x="10" s="1"/>
        <i x="1" s="1"/>
        <i x="11" s="1"/>
        <i x="7" s="1"/>
        <i x="12" s="1"/>
        <i x="15" s="1"/>
        <i x="13" s="1"/>
        <i x="8" s="1"/>
        <i x="9" s="1"/>
        <i x="17" s="1"/>
        <i x="14" s="1"/>
        <i x="4" s="1"/>
        <i x="1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F31EFE2-D3F3-47D1-94CA-EB5783281C8A}" sourceName="Gender">
  <pivotTables>
    <pivotTable tabId="1" name="PivotTable1"/>
  </pivotTables>
  <data>
    <tabular pivotCacheId="284718603">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City" xr10:uid="{3552E8AE-036F-4785-B30F-E92BE2C71F48}" cache="Slicer_Branch_City" caption="Branch City" style="SlicerStyleDark4" rowHeight="251883"/>
  <slicer name="Employee Name " xr10:uid="{A70810F4-21F8-41B6-BCB2-BDBFDC2CB3BA}" cache="Slicer_Employee_Name" caption="Employee Name " style="SlicerStyleDark4" rowHeight="251883"/>
  <slicer name="Gender" xr10:uid="{0033EF85-7513-42E8-ABCD-B6C886EF4A75}" cache="Slicer_Gender" caption="Gender" style="SlicerStyleDark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1" xr10:uid="{63D19967-CDA9-4360-923B-39044967ACF9}" sourceName="Date of Joining">
  <pivotTables>
    <pivotTable tabId="1" name="PivotTable1"/>
    <pivotTable tabId="1" name="PivotTable2"/>
    <pivotTable tabId="1" name="PivotTable3"/>
  </pivotTables>
  <state minimalRefreshVersion="6" lastRefreshVersion="6" pivotCacheId="284718603"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1" xr10:uid="{6D23B4EB-C886-46BC-93F9-62E53A09962E}" cache="NativeTimeline_Date_of_Joining1" caption="Date of Joining" level="0" selectionLevel="0" scrollPosition="2020-01-01T00:00:00" style="TimeSlicerStyleLight4"/>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B887-A4FA-41C9-B901-39E63DAA5A33}">
  <dimension ref="A1:L22"/>
  <sheetViews>
    <sheetView workbookViewId="0">
      <selection activeCell="B22" sqref="B22"/>
    </sheetView>
  </sheetViews>
  <sheetFormatPr defaultRowHeight="14.5" x14ac:dyDescent="0.35"/>
  <cols>
    <col min="1" max="1" width="14" customWidth="1"/>
    <col min="2" max="2" width="12" customWidth="1"/>
    <col min="3" max="3" width="16.54296875" customWidth="1"/>
    <col min="4" max="4" width="10.6328125" customWidth="1"/>
    <col min="5" max="5" width="10.08984375" customWidth="1"/>
    <col min="6" max="6" width="14" customWidth="1"/>
    <col min="7" max="7" width="15.6328125" customWidth="1"/>
    <col min="8" max="8" width="14.7265625" customWidth="1"/>
    <col min="9" max="9" width="19.81640625" customWidth="1"/>
    <col min="10" max="10" width="22.08984375" customWidth="1"/>
    <col min="11" max="11" width="17.81640625" customWidth="1"/>
  </cols>
  <sheetData>
    <row r="1" spans="1:12" x14ac:dyDescent="0.35">
      <c r="A1" s="16" t="s">
        <v>82</v>
      </c>
      <c r="B1" s="16" t="s">
        <v>81</v>
      </c>
      <c r="C1" s="16" t="s">
        <v>80</v>
      </c>
      <c r="D1" s="16" t="s">
        <v>79</v>
      </c>
      <c r="E1" s="16" t="s">
        <v>78</v>
      </c>
      <c r="F1" s="16" t="s">
        <v>77</v>
      </c>
      <c r="G1" s="16" t="s">
        <v>76</v>
      </c>
      <c r="H1" s="15" t="s">
        <v>75</v>
      </c>
      <c r="I1" s="15" t="s">
        <v>74</v>
      </c>
      <c r="J1" s="15" t="s">
        <v>73</v>
      </c>
      <c r="K1" s="15" t="s">
        <v>72</v>
      </c>
      <c r="L1" s="14" t="s">
        <v>71</v>
      </c>
    </row>
    <row r="2" spans="1:12" x14ac:dyDescent="0.35">
      <c r="A2" s="12" t="s">
        <v>70</v>
      </c>
      <c r="B2">
        <f t="shared" ref="B2:B19" si="0">COUNTIF($A$2:$A$20,A2)</f>
        <v>1</v>
      </c>
      <c r="C2" t="s">
        <v>69</v>
      </c>
      <c r="D2" t="s">
        <v>31</v>
      </c>
      <c r="E2">
        <v>26</v>
      </c>
      <c r="F2" t="s">
        <v>6</v>
      </c>
      <c r="G2" t="s">
        <v>26</v>
      </c>
      <c r="H2" t="s">
        <v>13</v>
      </c>
      <c r="I2" s="13">
        <v>45699</v>
      </c>
      <c r="J2">
        <v>27424</v>
      </c>
      <c r="K2" t="str">
        <f t="shared" ref="K2:K19" si="1">IF(E2&gt;40,"Old", IF(E2&gt;20, "Young", "Teen"))</f>
        <v>Young</v>
      </c>
      <c r="L2" s="12"/>
    </row>
    <row r="3" spans="1:12" x14ac:dyDescent="0.35">
      <c r="A3" s="12" t="s">
        <v>68</v>
      </c>
      <c r="B3">
        <f t="shared" si="0"/>
        <v>1</v>
      </c>
      <c r="C3" t="s">
        <v>67</v>
      </c>
      <c r="D3" t="s">
        <v>27</v>
      </c>
      <c r="E3">
        <v>22</v>
      </c>
      <c r="F3" t="s">
        <v>4</v>
      </c>
      <c r="G3" t="s">
        <v>34</v>
      </c>
      <c r="H3" t="s">
        <v>13</v>
      </c>
      <c r="I3" s="13">
        <v>45698</v>
      </c>
      <c r="J3">
        <v>32873</v>
      </c>
      <c r="K3" t="str">
        <f t="shared" si="1"/>
        <v>Young</v>
      </c>
      <c r="L3" s="12"/>
    </row>
    <row r="4" spans="1:12" x14ac:dyDescent="0.35">
      <c r="A4" s="12" t="s">
        <v>66</v>
      </c>
      <c r="B4">
        <f t="shared" si="0"/>
        <v>1</v>
      </c>
      <c r="C4" t="s">
        <v>65</v>
      </c>
      <c r="D4" t="s">
        <v>27</v>
      </c>
      <c r="E4">
        <v>32</v>
      </c>
      <c r="F4" t="s">
        <v>8</v>
      </c>
      <c r="G4" t="s">
        <v>37</v>
      </c>
      <c r="H4" t="s">
        <v>12</v>
      </c>
      <c r="I4" s="13">
        <v>44347</v>
      </c>
      <c r="J4">
        <v>52029</v>
      </c>
      <c r="K4" t="str">
        <f t="shared" si="1"/>
        <v>Young</v>
      </c>
      <c r="L4" s="12"/>
    </row>
    <row r="5" spans="1:12" x14ac:dyDescent="0.35">
      <c r="A5" s="12" t="s">
        <v>64</v>
      </c>
      <c r="B5">
        <f t="shared" si="0"/>
        <v>1</v>
      </c>
      <c r="C5" t="s">
        <v>63</v>
      </c>
      <c r="D5" t="s">
        <v>27</v>
      </c>
      <c r="E5">
        <v>23</v>
      </c>
      <c r="F5" t="s">
        <v>6</v>
      </c>
      <c r="G5" t="s">
        <v>52</v>
      </c>
      <c r="H5" t="s">
        <v>13</v>
      </c>
      <c r="I5" s="13">
        <v>45662</v>
      </c>
      <c r="J5">
        <v>28045</v>
      </c>
      <c r="K5" t="str">
        <f t="shared" si="1"/>
        <v>Young</v>
      </c>
      <c r="L5" s="12"/>
    </row>
    <row r="6" spans="1:12" x14ac:dyDescent="0.35">
      <c r="A6" s="12" t="s">
        <v>62</v>
      </c>
      <c r="B6">
        <f t="shared" si="0"/>
        <v>1</v>
      </c>
      <c r="C6" t="s">
        <v>61</v>
      </c>
      <c r="D6" t="s">
        <v>27</v>
      </c>
      <c r="E6">
        <v>44</v>
      </c>
      <c r="F6" t="s">
        <v>3</v>
      </c>
      <c r="G6" t="s">
        <v>30</v>
      </c>
      <c r="H6" t="s">
        <v>13</v>
      </c>
      <c r="I6" s="13">
        <v>44399</v>
      </c>
      <c r="J6">
        <v>38665</v>
      </c>
      <c r="K6" t="str">
        <f t="shared" si="1"/>
        <v>Old</v>
      </c>
      <c r="L6" s="12"/>
    </row>
    <row r="7" spans="1:12" x14ac:dyDescent="0.35">
      <c r="A7" s="12" t="s">
        <v>60</v>
      </c>
      <c r="B7">
        <f t="shared" si="0"/>
        <v>1</v>
      </c>
      <c r="C7" t="s">
        <v>59</v>
      </c>
      <c r="D7" t="s">
        <v>31</v>
      </c>
      <c r="E7">
        <v>42</v>
      </c>
      <c r="F7" t="s">
        <v>8</v>
      </c>
      <c r="G7" t="s">
        <v>37</v>
      </c>
      <c r="H7" t="s">
        <v>13</v>
      </c>
      <c r="I7" s="13">
        <v>44982</v>
      </c>
      <c r="J7">
        <v>31820</v>
      </c>
      <c r="K7" t="str">
        <f t="shared" si="1"/>
        <v>Old</v>
      </c>
      <c r="L7" s="12"/>
    </row>
    <row r="8" spans="1:12" x14ac:dyDescent="0.35">
      <c r="A8" s="12" t="s">
        <v>58</v>
      </c>
      <c r="B8">
        <f t="shared" si="0"/>
        <v>1</v>
      </c>
      <c r="C8" t="s">
        <v>57</v>
      </c>
      <c r="D8" t="s">
        <v>31</v>
      </c>
      <c r="E8">
        <v>39</v>
      </c>
      <c r="F8" t="s">
        <v>6</v>
      </c>
      <c r="G8" t="s">
        <v>34</v>
      </c>
      <c r="H8" t="s">
        <v>12</v>
      </c>
      <c r="I8" s="13">
        <v>44135</v>
      </c>
      <c r="J8">
        <v>56147</v>
      </c>
      <c r="K8" t="str">
        <f t="shared" si="1"/>
        <v>Young</v>
      </c>
      <c r="L8" s="12"/>
    </row>
    <row r="9" spans="1:12" x14ac:dyDescent="0.35">
      <c r="A9" s="12" t="s">
        <v>56</v>
      </c>
      <c r="B9">
        <f t="shared" si="0"/>
        <v>1</v>
      </c>
      <c r="C9" t="s">
        <v>55</v>
      </c>
      <c r="D9" t="s">
        <v>31</v>
      </c>
      <c r="E9">
        <v>23</v>
      </c>
      <c r="F9" t="s">
        <v>5</v>
      </c>
      <c r="G9" t="s">
        <v>30</v>
      </c>
      <c r="H9" t="s">
        <v>12</v>
      </c>
      <c r="I9" s="13">
        <v>44758</v>
      </c>
      <c r="J9">
        <v>54145</v>
      </c>
      <c r="K9" t="str">
        <f t="shared" si="1"/>
        <v>Young</v>
      </c>
      <c r="L9" s="12"/>
    </row>
    <row r="10" spans="1:12" x14ac:dyDescent="0.35">
      <c r="A10" s="12" t="s">
        <v>54</v>
      </c>
      <c r="B10">
        <f t="shared" si="0"/>
        <v>1</v>
      </c>
      <c r="C10" t="s">
        <v>53</v>
      </c>
      <c r="D10" t="s">
        <v>31</v>
      </c>
      <c r="E10">
        <v>37</v>
      </c>
      <c r="F10" t="s">
        <v>7</v>
      </c>
      <c r="G10" t="s">
        <v>52</v>
      </c>
      <c r="H10" t="s">
        <v>13</v>
      </c>
      <c r="I10" s="13">
        <v>44051</v>
      </c>
      <c r="J10">
        <v>30339</v>
      </c>
      <c r="K10" t="str">
        <f t="shared" si="1"/>
        <v>Young</v>
      </c>
      <c r="L10" s="12"/>
    </row>
    <row r="11" spans="1:12" x14ac:dyDescent="0.35">
      <c r="A11" s="12" t="s">
        <v>51</v>
      </c>
      <c r="B11">
        <f t="shared" si="0"/>
        <v>1</v>
      </c>
      <c r="C11" t="s">
        <v>50</v>
      </c>
      <c r="D11" t="s">
        <v>31</v>
      </c>
      <c r="E11">
        <v>40</v>
      </c>
      <c r="F11" t="s">
        <v>7</v>
      </c>
      <c r="G11" t="s">
        <v>49</v>
      </c>
      <c r="H11" t="s">
        <v>13</v>
      </c>
      <c r="I11" s="13">
        <v>44364</v>
      </c>
      <c r="J11">
        <v>28266</v>
      </c>
      <c r="K11" t="str">
        <f t="shared" si="1"/>
        <v>Young</v>
      </c>
      <c r="L11" s="12"/>
    </row>
    <row r="12" spans="1:12" x14ac:dyDescent="0.35">
      <c r="A12" s="12" t="s">
        <v>48</v>
      </c>
      <c r="B12">
        <f t="shared" si="0"/>
        <v>1</v>
      </c>
      <c r="C12" t="s">
        <v>47</v>
      </c>
      <c r="D12" t="s">
        <v>31</v>
      </c>
      <c r="E12">
        <v>43</v>
      </c>
      <c r="F12" t="s">
        <v>7</v>
      </c>
      <c r="G12" t="s">
        <v>26</v>
      </c>
      <c r="H12" t="s">
        <v>12</v>
      </c>
      <c r="I12" s="13">
        <v>45042</v>
      </c>
      <c r="J12">
        <v>53504</v>
      </c>
      <c r="K12" t="str">
        <f t="shared" si="1"/>
        <v>Old</v>
      </c>
      <c r="L12" s="12"/>
    </row>
    <row r="13" spans="1:12" x14ac:dyDescent="0.35">
      <c r="A13" s="12" t="s">
        <v>46</v>
      </c>
      <c r="B13">
        <f t="shared" si="0"/>
        <v>1</v>
      </c>
      <c r="C13" t="s">
        <v>45</v>
      </c>
      <c r="D13" t="s">
        <v>31</v>
      </c>
      <c r="E13">
        <v>25</v>
      </c>
      <c r="F13" t="s">
        <v>6</v>
      </c>
      <c r="G13" t="s">
        <v>42</v>
      </c>
      <c r="H13" t="s">
        <v>12</v>
      </c>
      <c r="I13" s="13">
        <v>44859</v>
      </c>
      <c r="J13">
        <v>44655</v>
      </c>
      <c r="K13" t="str">
        <f t="shared" si="1"/>
        <v>Young</v>
      </c>
      <c r="L13" s="12"/>
    </row>
    <row r="14" spans="1:12" x14ac:dyDescent="0.35">
      <c r="A14" s="12" t="s">
        <v>44</v>
      </c>
      <c r="B14">
        <f t="shared" si="0"/>
        <v>1</v>
      </c>
      <c r="C14" t="s">
        <v>43</v>
      </c>
      <c r="D14" t="s">
        <v>27</v>
      </c>
      <c r="E14">
        <v>38</v>
      </c>
      <c r="F14" t="s">
        <v>3</v>
      </c>
      <c r="G14" t="s">
        <v>42</v>
      </c>
      <c r="H14" t="s">
        <v>12</v>
      </c>
      <c r="I14" s="13">
        <v>45545</v>
      </c>
      <c r="J14">
        <v>47517</v>
      </c>
      <c r="K14" t="str">
        <f t="shared" si="1"/>
        <v>Young</v>
      </c>
      <c r="L14" s="12"/>
    </row>
    <row r="15" spans="1:12" x14ac:dyDescent="0.35">
      <c r="A15" s="12" t="s">
        <v>41</v>
      </c>
      <c r="B15">
        <f t="shared" si="0"/>
        <v>1</v>
      </c>
      <c r="C15" t="s">
        <v>40</v>
      </c>
      <c r="D15" t="s">
        <v>27</v>
      </c>
      <c r="E15">
        <v>37</v>
      </c>
      <c r="F15" t="s">
        <v>3</v>
      </c>
      <c r="G15" t="s">
        <v>26</v>
      </c>
      <c r="H15" t="s">
        <v>13</v>
      </c>
      <c r="I15" s="13">
        <v>44952</v>
      </c>
      <c r="J15">
        <v>39626</v>
      </c>
      <c r="K15" t="str">
        <f t="shared" si="1"/>
        <v>Young</v>
      </c>
      <c r="L15" s="12"/>
    </row>
    <row r="16" spans="1:12" x14ac:dyDescent="0.35">
      <c r="A16" s="12" t="s">
        <v>39</v>
      </c>
      <c r="B16">
        <f t="shared" si="0"/>
        <v>1</v>
      </c>
      <c r="C16" t="s">
        <v>38</v>
      </c>
      <c r="D16" t="s">
        <v>27</v>
      </c>
      <c r="E16">
        <v>37</v>
      </c>
      <c r="F16" t="s">
        <v>3</v>
      </c>
      <c r="G16" t="s">
        <v>37</v>
      </c>
      <c r="H16" t="s">
        <v>11</v>
      </c>
      <c r="I16" s="13">
        <v>43991</v>
      </c>
      <c r="J16">
        <v>23404</v>
      </c>
      <c r="K16" t="str">
        <f t="shared" si="1"/>
        <v>Young</v>
      </c>
      <c r="L16" s="12"/>
    </row>
    <row r="17" spans="1:12" x14ac:dyDescent="0.35">
      <c r="A17" s="12" t="s">
        <v>36</v>
      </c>
      <c r="B17">
        <f t="shared" si="0"/>
        <v>1</v>
      </c>
      <c r="C17" t="s">
        <v>35</v>
      </c>
      <c r="D17" t="s">
        <v>27</v>
      </c>
      <c r="E17">
        <v>28</v>
      </c>
      <c r="F17" t="s">
        <v>4</v>
      </c>
      <c r="G17" t="s">
        <v>34</v>
      </c>
      <c r="H17" t="s">
        <v>13</v>
      </c>
      <c r="I17" s="13">
        <v>44742</v>
      </c>
      <c r="J17">
        <v>32537</v>
      </c>
      <c r="K17" t="str">
        <f t="shared" si="1"/>
        <v>Young</v>
      </c>
      <c r="L17" s="12"/>
    </row>
    <row r="18" spans="1:12" x14ac:dyDescent="0.35">
      <c r="A18" s="12" t="s">
        <v>33</v>
      </c>
      <c r="B18">
        <f t="shared" si="0"/>
        <v>1</v>
      </c>
      <c r="C18" t="s">
        <v>32</v>
      </c>
      <c r="D18" t="s">
        <v>31</v>
      </c>
      <c r="E18">
        <v>24</v>
      </c>
      <c r="F18" t="s">
        <v>8</v>
      </c>
      <c r="G18" t="s">
        <v>30</v>
      </c>
      <c r="H18" t="s">
        <v>13</v>
      </c>
      <c r="I18" s="13">
        <v>45875</v>
      </c>
      <c r="J18">
        <v>35075</v>
      </c>
      <c r="K18" t="str">
        <f t="shared" si="1"/>
        <v>Young</v>
      </c>
      <c r="L18" s="12"/>
    </row>
    <row r="19" spans="1:12" x14ac:dyDescent="0.35">
      <c r="A19" s="12" t="s">
        <v>29</v>
      </c>
      <c r="B19">
        <f t="shared" si="0"/>
        <v>1</v>
      </c>
      <c r="C19" t="s">
        <v>28</v>
      </c>
      <c r="D19" t="s">
        <v>27</v>
      </c>
      <c r="E19">
        <v>23</v>
      </c>
      <c r="F19" t="s">
        <v>8</v>
      </c>
      <c r="G19" t="s">
        <v>26</v>
      </c>
      <c r="H19" t="s">
        <v>11</v>
      </c>
      <c r="I19" s="13">
        <v>45571</v>
      </c>
      <c r="J19">
        <v>19949</v>
      </c>
      <c r="K19" t="str">
        <f t="shared" si="1"/>
        <v>Young</v>
      </c>
      <c r="L19" s="12"/>
    </row>
    <row r="20" spans="1:12" x14ac:dyDescent="0.35">
      <c r="L20" s="12"/>
    </row>
    <row r="22" spans="1:12" x14ac:dyDescent="0.35">
      <c r="D22" s="17" t="s">
        <v>83</v>
      </c>
      <c r="E22">
        <f>COUNTIF(F2:F19,F7)</f>
        <v>4</v>
      </c>
      <c r="F22" s="17" t="s">
        <v>84</v>
      </c>
      <c r="G22">
        <f>AVERAGEIF(F2:F19,$F$4,$J$2:$J$19)</f>
        <v>34718.25</v>
      </c>
      <c r="I22">
        <v>34718.25</v>
      </c>
    </row>
  </sheetData>
  <autoFilter ref="A1:L19" xr:uid="{F371078C-6135-45E6-A2E6-CDF6D3447B72}"/>
  <conditionalFormatting sqref="H1:H19 H21:H1048576">
    <cfRule type="containsText" dxfId="4" priority="3" operator="containsText" text="Senior Executive">
      <formula>NOT(ISERROR(SEARCH("Senior Executive",H1)))</formula>
    </cfRule>
    <cfRule type="containsText" dxfId="3" priority="4" operator="containsText" text="Senior Executive">
      <formula>NOT(ISERROR(SEARCH("Senior Executive",H1)))</formula>
    </cfRule>
    <cfRule type="containsText" dxfId="2" priority="5" operator="containsText" text="Executive">
      <formula>NOT(ISERROR(SEARCH("Executive",H1)))</formula>
    </cfRule>
  </conditionalFormatting>
  <conditionalFormatting sqref="H1:H1048576">
    <cfRule type="containsText" dxfId="1" priority="1" operator="containsText" text="Trainee">
      <formula>NOT(ISERROR(SEARCH("Trainee",H1)))</formula>
    </cfRule>
  </conditionalFormatting>
  <conditionalFormatting sqref="L1:L20 A1:A19 A21:A1048576">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E2F1-423E-4F80-9AD1-97EE6E125071}">
  <dimension ref="A1:X76"/>
  <sheetViews>
    <sheetView showGridLines="0" tabSelected="1" zoomScale="44" zoomScaleNormal="53" workbookViewId="0">
      <selection activeCell="AM37" sqref="AM37"/>
    </sheetView>
  </sheetViews>
  <sheetFormatPr defaultRowHeight="14.5" x14ac:dyDescent="0.35"/>
  <cols>
    <col min="4" max="4" width="8.7265625" customWidth="1"/>
    <col min="6" max="6" width="14.54296875" bestFit="1" customWidth="1"/>
    <col min="7" max="7" width="26.7265625" bestFit="1" customWidth="1"/>
  </cols>
  <sheetData>
    <row r="1" spans="1:16" x14ac:dyDescent="0.35">
      <c r="A1" s="20"/>
      <c r="B1" s="20"/>
      <c r="C1" s="20"/>
      <c r="D1" s="20"/>
      <c r="E1" s="20"/>
      <c r="J1" s="18" t="s">
        <v>16</v>
      </c>
      <c r="K1" s="19"/>
      <c r="L1" s="19"/>
      <c r="M1" s="19"/>
      <c r="N1" s="19"/>
      <c r="O1" s="19"/>
      <c r="P1" s="19"/>
    </row>
    <row r="2" spans="1:16" x14ac:dyDescent="0.35">
      <c r="A2" s="20"/>
      <c r="B2" s="20"/>
      <c r="C2" s="20"/>
      <c r="D2" s="20"/>
      <c r="E2" s="20"/>
      <c r="J2" s="19"/>
      <c r="K2" s="19"/>
      <c r="L2" s="19"/>
      <c r="M2" s="19"/>
      <c r="N2" s="19"/>
      <c r="O2" s="19"/>
      <c r="P2" s="19"/>
    </row>
    <row r="3" spans="1:16" x14ac:dyDescent="0.35">
      <c r="A3" s="20"/>
      <c r="B3" s="20"/>
      <c r="C3" s="20"/>
      <c r="D3" s="20"/>
      <c r="E3" s="20"/>
      <c r="F3" s="8" t="s">
        <v>10</v>
      </c>
      <c r="G3" s="8" t="s">
        <v>15</v>
      </c>
    </row>
    <row r="4" spans="1:16" x14ac:dyDescent="0.35">
      <c r="A4" s="20"/>
      <c r="B4" s="20"/>
      <c r="C4" s="20"/>
      <c r="D4" s="20"/>
      <c r="E4" s="20"/>
      <c r="F4" s="10" t="s">
        <v>8</v>
      </c>
      <c r="G4" s="11">
        <v>4</v>
      </c>
    </row>
    <row r="5" spans="1:16" x14ac:dyDescent="0.35">
      <c r="A5" s="20"/>
      <c r="B5" s="20"/>
      <c r="C5" s="20"/>
      <c r="D5" s="20"/>
      <c r="E5" s="20"/>
      <c r="F5" s="10" t="s">
        <v>7</v>
      </c>
      <c r="G5" s="11">
        <v>3</v>
      </c>
    </row>
    <row r="6" spans="1:16" x14ac:dyDescent="0.35">
      <c r="A6" s="20"/>
      <c r="B6" s="20"/>
      <c r="C6" s="20"/>
      <c r="D6" s="20"/>
      <c r="E6" s="20"/>
      <c r="F6" s="10" t="s">
        <v>6</v>
      </c>
      <c r="G6" s="11">
        <v>4</v>
      </c>
    </row>
    <row r="7" spans="1:16" ht="26" x14ac:dyDescent="0.6">
      <c r="A7" s="20"/>
      <c r="B7" s="20"/>
      <c r="C7" s="21" t="s">
        <v>87</v>
      </c>
      <c r="D7" s="22"/>
      <c r="E7" s="22"/>
      <c r="F7" s="10" t="s">
        <v>5</v>
      </c>
      <c r="G7" s="11">
        <v>1</v>
      </c>
    </row>
    <row r="8" spans="1:16" x14ac:dyDescent="0.35">
      <c r="A8" s="20"/>
      <c r="B8" s="20"/>
      <c r="C8" s="20"/>
      <c r="D8" s="20"/>
      <c r="E8" s="20"/>
      <c r="F8" s="10" t="s">
        <v>4</v>
      </c>
      <c r="G8" s="11">
        <v>2</v>
      </c>
    </row>
    <row r="9" spans="1:16" x14ac:dyDescent="0.35">
      <c r="A9" s="20"/>
      <c r="B9" s="20"/>
      <c r="C9" s="20"/>
      <c r="D9" s="20"/>
      <c r="E9" s="20"/>
      <c r="F9" s="10" t="s">
        <v>3</v>
      </c>
      <c r="G9" s="11">
        <v>4</v>
      </c>
    </row>
    <row r="10" spans="1:16" x14ac:dyDescent="0.35">
      <c r="A10" s="20"/>
      <c r="B10" s="20"/>
      <c r="C10" s="20"/>
      <c r="D10" s="20"/>
      <c r="E10" s="20"/>
      <c r="F10" s="9" t="s">
        <v>2</v>
      </c>
      <c r="G10" s="8">
        <v>18</v>
      </c>
    </row>
    <row r="11" spans="1:16" x14ac:dyDescent="0.35">
      <c r="A11" s="20"/>
      <c r="B11" s="20"/>
      <c r="C11" s="20"/>
      <c r="D11" s="20"/>
      <c r="E11" s="20"/>
    </row>
    <row r="12" spans="1:16" x14ac:dyDescent="0.35">
      <c r="A12" s="20"/>
      <c r="B12" s="20"/>
      <c r="C12" s="20"/>
      <c r="D12" s="20"/>
      <c r="E12" s="20"/>
      <c r="F12" s="8" t="s">
        <v>10</v>
      </c>
      <c r="G12" s="8" t="s">
        <v>14</v>
      </c>
    </row>
    <row r="13" spans="1:16" x14ac:dyDescent="0.35">
      <c r="A13" s="20"/>
      <c r="B13" s="20"/>
      <c r="C13" s="20"/>
      <c r="D13" s="20"/>
      <c r="E13" s="20"/>
      <c r="F13" s="10" t="s">
        <v>13</v>
      </c>
      <c r="G13" s="11">
        <v>10</v>
      </c>
    </row>
    <row r="14" spans="1:16" x14ac:dyDescent="0.35">
      <c r="A14" s="20"/>
      <c r="B14" s="20"/>
      <c r="C14" s="20"/>
      <c r="D14" s="20"/>
      <c r="E14" s="20"/>
      <c r="F14" s="10" t="s">
        <v>12</v>
      </c>
      <c r="G14" s="11">
        <v>6</v>
      </c>
    </row>
    <row r="15" spans="1:16" x14ac:dyDescent="0.35">
      <c r="A15" s="20"/>
      <c r="B15" s="20"/>
      <c r="C15" s="20"/>
      <c r="D15" s="20"/>
      <c r="E15" s="20"/>
      <c r="F15" s="10" t="s">
        <v>11</v>
      </c>
      <c r="G15" s="11">
        <v>2</v>
      </c>
    </row>
    <row r="16" spans="1:16" x14ac:dyDescent="0.35">
      <c r="A16" s="20"/>
      <c r="B16" s="20"/>
      <c r="C16" s="20"/>
      <c r="D16" s="20"/>
      <c r="E16" s="20"/>
      <c r="F16" s="9" t="s">
        <v>2</v>
      </c>
      <c r="G16" s="8">
        <v>18</v>
      </c>
    </row>
    <row r="17" spans="1:7" ht="26" x14ac:dyDescent="0.6">
      <c r="A17" s="20"/>
      <c r="B17" s="20"/>
      <c r="C17" s="21" t="s">
        <v>85</v>
      </c>
      <c r="D17" s="22"/>
      <c r="E17" s="20"/>
    </row>
    <row r="18" spans="1:7" x14ac:dyDescent="0.35">
      <c r="A18" s="20"/>
      <c r="B18" s="20"/>
      <c r="C18" s="20"/>
      <c r="D18" s="20"/>
      <c r="E18" s="20"/>
      <c r="F18" s="8" t="s">
        <v>10</v>
      </c>
      <c r="G18" s="8" t="s">
        <v>9</v>
      </c>
    </row>
    <row r="19" spans="1:7" x14ac:dyDescent="0.35">
      <c r="A19" s="20"/>
      <c r="B19" s="20"/>
      <c r="C19" s="20"/>
      <c r="D19" s="20"/>
      <c r="E19" s="20"/>
      <c r="F19" s="10" t="s">
        <v>8</v>
      </c>
      <c r="G19" s="11">
        <v>34718.25</v>
      </c>
    </row>
    <row r="20" spans="1:7" x14ac:dyDescent="0.35">
      <c r="A20" s="20"/>
      <c r="B20" s="20"/>
      <c r="C20" s="20"/>
      <c r="D20" s="20"/>
      <c r="E20" s="20"/>
      <c r="F20" s="10" t="s">
        <v>7</v>
      </c>
      <c r="G20" s="11">
        <v>37369.666666666664</v>
      </c>
    </row>
    <row r="21" spans="1:7" x14ac:dyDescent="0.35">
      <c r="A21" s="20"/>
      <c r="B21" s="20"/>
      <c r="C21" s="20"/>
      <c r="D21" s="20"/>
      <c r="E21" s="20"/>
      <c r="F21" s="10" t="s">
        <v>6</v>
      </c>
      <c r="G21" s="11">
        <v>39067.75</v>
      </c>
    </row>
    <row r="22" spans="1:7" x14ac:dyDescent="0.35">
      <c r="A22" s="20"/>
      <c r="B22" s="20"/>
      <c r="C22" s="20"/>
      <c r="D22" s="20"/>
      <c r="E22" s="20"/>
      <c r="F22" s="10" t="s">
        <v>5</v>
      </c>
      <c r="G22" s="11">
        <v>54145</v>
      </c>
    </row>
    <row r="23" spans="1:7" x14ac:dyDescent="0.35">
      <c r="A23" s="20"/>
      <c r="B23" s="20"/>
      <c r="C23" s="20"/>
      <c r="D23" s="20"/>
      <c r="E23" s="20"/>
      <c r="F23" s="10" t="s">
        <v>4</v>
      </c>
      <c r="G23" s="11">
        <v>32705</v>
      </c>
    </row>
    <row r="24" spans="1:7" x14ac:dyDescent="0.35">
      <c r="A24" s="20"/>
      <c r="B24" s="20"/>
      <c r="C24" s="20"/>
      <c r="D24" s="20"/>
      <c r="E24" s="20"/>
      <c r="F24" s="10" t="s">
        <v>3</v>
      </c>
      <c r="G24" s="11">
        <v>37303</v>
      </c>
    </row>
    <row r="25" spans="1:7" ht="26" x14ac:dyDescent="0.6">
      <c r="A25" s="20"/>
      <c r="B25" s="20"/>
      <c r="C25" s="21" t="s">
        <v>86</v>
      </c>
      <c r="D25" s="20"/>
      <c r="E25" s="20"/>
      <c r="F25" s="9" t="s">
        <v>2</v>
      </c>
      <c r="G25" s="8">
        <v>37556.666666666664</v>
      </c>
    </row>
    <row r="26" spans="1:7" x14ac:dyDescent="0.35">
      <c r="A26" s="20"/>
      <c r="B26" s="20"/>
      <c r="C26" s="20"/>
      <c r="D26" s="20"/>
      <c r="E26" s="20"/>
    </row>
    <row r="27" spans="1:7" x14ac:dyDescent="0.35">
      <c r="A27" s="20"/>
      <c r="B27" s="20"/>
      <c r="C27" s="20"/>
      <c r="D27" s="20"/>
      <c r="E27" s="20"/>
    </row>
    <row r="28" spans="1:7" x14ac:dyDescent="0.35">
      <c r="A28" s="20"/>
      <c r="B28" s="20"/>
      <c r="C28" s="20"/>
      <c r="D28" s="20"/>
      <c r="E28" s="20"/>
    </row>
    <row r="29" spans="1:7" x14ac:dyDescent="0.35">
      <c r="A29" s="20"/>
      <c r="B29" s="20"/>
      <c r="C29" s="20"/>
      <c r="D29" s="20"/>
      <c r="E29" s="20"/>
    </row>
    <row r="30" spans="1:7" x14ac:dyDescent="0.35">
      <c r="A30" s="20"/>
      <c r="B30" s="20"/>
      <c r="C30" s="20"/>
      <c r="D30" s="20"/>
      <c r="E30" s="20"/>
    </row>
    <row r="31" spans="1:7" x14ac:dyDescent="0.35">
      <c r="A31" s="20"/>
      <c r="B31" s="20"/>
      <c r="C31" s="20"/>
      <c r="D31" s="20"/>
      <c r="E31" s="20"/>
    </row>
    <row r="32" spans="1:7" x14ac:dyDescent="0.35">
      <c r="A32" s="20"/>
      <c r="B32" s="20"/>
      <c r="C32" s="20"/>
      <c r="D32" s="20"/>
      <c r="E32" s="20"/>
    </row>
    <row r="33" spans="1:24" x14ac:dyDescent="0.35">
      <c r="A33" s="20"/>
      <c r="B33" s="20"/>
      <c r="C33" s="20"/>
      <c r="D33" s="20"/>
      <c r="E33" s="20"/>
    </row>
    <row r="34" spans="1:24" ht="21" x14ac:dyDescent="0.5">
      <c r="A34" s="20"/>
      <c r="B34" s="20"/>
      <c r="C34" s="20"/>
      <c r="D34" s="20"/>
      <c r="E34" s="20"/>
      <c r="F34" s="7" t="s">
        <v>1</v>
      </c>
      <c r="G34" s="6"/>
      <c r="H34" s="1"/>
      <c r="I34" s="1"/>
      <c r="J34" s="1"/>
      <c r="K34" s="1"/>
      <c r="L34" s="1"/>
      <c r="M34" s="1"/>
      <c r="N34" s="1"/>
      <c r="O34" s="1"/>
      <c r="P34" s="1"/>
      <c r="Q34" s="1"/>
    </row>
    <row r="35" spans="1:24" ht="21" x14ac:dyDescent="0.5">
      <c r="A35" s="20"/>
      <c r="B35" s="20"/>
      <c r="C35" s="20"/>
      <c r="D35" s="20"/>
      <c r="E35" s="20"/>
      <c r="F35" s="5"/>
      <c r="G35" s="1"/>
      <c r="H35" s="1"/>
      <c r="I35" s="1"/>
      <c r="J35" s="1"/>
      <c r="K35" s="1"/>
      <c r="L35" s="1"/>
      <c r="M35" s="1"/>
      <c r="N35" s="1"/>
      <c r="O35" s="1"/>
      <c r="P35" s="1"/>
      <c r="Q35" s="1"/>
    </row>
    <row r="36" spans="1:24" ht="20.5" x14ac:dyDescent="0.45">
      <c r="A36" s="20"/>
      <c r="B36" s="20"/>
      <c r="C36" s="20"/>
      <c r="D36" s="20"/>
      <c r="E36" s="20"/>
      <c r="F36" s="4" t="s">
        <v>17</v>
      </c>
      <c r="G36" s="3"/>
      <c r="H36" s="3"/>
      <c r="I36" s="3"/>
      <c r="J36" s="3"/>
      <c r="K36" s="3"/>
      <c r="L36" s="3"/>
      <c r="M36" s="3"/>
      <c r="N36" s="3"/>
      <c r="O36" s="3"/>
      <c r="P36" s="3"/>
      <c r="Q36" s="3"/>
      <c r="R36" s="2"/>
      <c r="S36" s="2"/>
      <c r="T36" s="2"/>
      <c r="U36" s="2"/>
      <c r="V36" s="2"/>
      <c r="W36" s="2"/>
      <c r="X36" s="2"/>
    </row>
    <row r="37" spans="1:24" ht="20.5" x14ac:dyDescent="0.45">
      <c r="A37" s="20"/>
      <c r="B37" s="20"/>
      <c r="C37" s="20"/>
      <c r="D37" s="20"/>
      <c r="E37" s="20"/>
      <c r="F37" s="4" t="s">
        <v>18</v>
      </c>
      <c r="G37" s="3"/>
      <c r="H37" s="3"/>
      <c r="I37" s="3"/>
      <c r="J37" s="3"/>
      <c r="K37" s="3"/>
      <c r="L37" s="3"/>
      <c r="M37" s="3"/>
      <c r="N37" s="3"/>
      <c r="O37" s="3"/>
      <c r="P37" s="3"/>
      <c r="Q37" s="3"/>
      <c r="R37" s="2"/>
      <c r="S37" s="2"/>
      <c r="T37" s="2"/>
      <c r="U37" s="2"/>
      <c r="V37" s="2"/>
      <c r="W37" s="2"/>
      <c r="X37" s="2"/>
    </row>
    <row r="38" spans="1:24" ht="20.5" x14ac:dyDescent="0.45">
      <c r="A38" s="20"/>
      <c r="B38" s="20"/>
      <c r="C38" s="20"/>
      <c r="D38" s="20"/>
      <c r="E38" s="20"/>
      <c r="F38" s="4" t="s">
        <v>19</v>
      </c>
      <c r="G38" s="3"/>
      <c r="H38" s="3"/>
      <c r="I38" s="3"/>
      <c r="J38" s="3"/>
      <c r="K38" s="3"/>
      <c r="L38" s="3"/>
      <c r="M38" s="3"/>
      <c r="N38" s="3"/>
      <c r="O38" s="3"/>
      <c r="P38" s="3"/>
      <c r="Q38" s="3"/>
      <c r="R38" s="2"/>
      <c r="S38" s="2"/>
      <c r="T38" s="2"/>
      <c r="U38" s="2"/>
      <c r="V38" s="2"/>
      <c r="W38" s="2"/>
      <c r="X38" s="2"/>
    </row>
    <row r="39" spans="1:24" ht="20.5" x14ac:dyDescent="0.45">
      <c r="A39" s="20"/>
      <c r="B39" s="20"/>
      <c r="C39" s="20"/>
      <c r="D39" s="20"/>
      <c r="E39" s="20"/>
      <c r="F39" s="4" t="s">
        <v>20</v>
      </c>
      <c r="G39" s="3"/>
      <c r="H39" s="3"/>
      <c r="I39" s="3"/>
      <c r="J39" s="3"/>
      <c r="K39" s="3"/>
      <c r="L39" s="3"/>
      <c r="M39" s="3"/>
      <c r="N39" s="3"/>
      <c r="O39" s="3"/>
      <c r="P39" s="3"/>
      <c r="Q39" s="3"/>
      <c r="R39" s="2"/>
      <c r="S39" s="2"/>
      <c r="T39" s="2"/>
      <c r="U39" s="2"/>
      <c r="V39" s="2"/>
      <c r="W39" s="2"/>
      <c r="X39" s="2"/>
    </row>
    <row r="40" spans="1:24" ht="20.5" x14ac:dyDescent="0.45">
      <c r="A40" s="20"/>
      <c r="B40" s="20"/>
      <c r="C40" s="20"/>
      <c r="D40" s="20"/>
      <c r="E40" s="20"/>
      <c r="F40" s="4" t="s">
        <v>21</v>
      </c>
      <c r="G40" s="3"/>
      <c r="H40" s="3"/>
      <c r="I40" s="3"/>
      <c r="J40" s="3"/>
      <c r="K40" s="3"/>
      <c r="L40" s="3"/>
      <c r="M40" s="3"/>
      <c r="N40" s="3"/>
      <c r="O40" s="3"/>
      <c r="P40" s="3"/>
      <c r="Q40" s="3"/>
      <c r="R40" s="2"/>
      <c r="S40" s="2"/>
      <c r="T40" s="2"/>
      <c r="U40" s="2"/>
      <c r="V40" s="2"/>
      <c r="W40" s="2"/>
      <c r="X40" s="2"/>
    </row>
    <row r="41" spans="1:24" ht="20.5" x14ac:dyDescent="0.45">
      <c r="A41" s="20"/>
      <c r="B41" s="20"/>
      <c r="C41" s="20"/>
      <c r="D41" s="20"/>
      <c r="E41" s="20"/>
      <c r="F41" s="4" t="s">
        <v>22</v>
      </c>
      <c r="G41" s="3"/>
      <c r="H41" s="3"/>
      <c r="I41" s="3"/>
      <c r="J41" s="3"/>
      <c r="K41" s="3"/>
      <c r="L41" s="3"/>
      <c r="M41" s="3"/>
      <c r="N41" s="3"/>
      <c r="O41" s="3"/>
      <c r="P41" s="3"/>
      <c r="Q41" s="3"/>
      <c r="R41" s="2"/>
      <c r="S41" s="2"/>
      <c r="T41" s="2"/>
      <c r="U41" s="2"/>
      <c r="V41" s="2"/>
      <c r="W41" s="2"/>
      <c r="X41" s="2"/>
    </row>
    <row r="42" spans="1:24" ht="20.5" x14ac:dyDescent="0.45">
      <c r="A42" s="20"/>
      <c r="B42" s="20"/>
      <c r="C42" s="20"/>
      <c r="D42" s="20"/>
      <c r="E42" s="20"/>
      <c r="F42" s="4" t="s">
        <v>0</v>
      </c>
      <c r="G42" s="3"/>
      <c r="H42" s="3"/>
      <c r="I42" s="3"/>
      <c r="J42" s="3"/>
      <c r="K42" s="3"/>
      <c r="L42" s="3"/>
      <c r="M42" s="3"/>
      <c r="N42" s="3"/>
      <c r="O42" s="3"/>
      <c r="P42" s="3"/>
      <c r="Q42" s="3"/>
      <c r="R42" s="2"/>
      <c r="S42" s="2"/>
      <c r="T42" s="2"/>
      <c r="U42" s="2"/>
      <c r="V42" s="2"/>
      <c r="W42" s="2"/>
      <c r="X42" s="2"/>
    </row>
    <row r="43" spans="1:24" ht="20.5" x14ac:dyDescent="0.45">
      <c r="A43" s="20"/>
      <c r="B43" s="20"/>
      <c r="C43" s="20"/>
      <c r="D43" s="20"/>
      <c r="E43" s="20"/>
      <c r="F43" s="4" t="s">
        <v>25</v>
      </c>
      <c r="G43" s="3"/>
      <c r="H43" s="3"/>
      <c r="I43" s="3"/>
      <c r="J43" s="3"/>
      <c r="K43" s="3"/>
      <c r="L43" s="3"/>
      <c r="M43" s="3"/>
      <c r="N43" s="3"/>
      <c r="O43" s="3"/>
      <c r="P43" s="3"/>
      <c r="Q43" s="3"/>
      <c r="R43" s="2"/>
      <c r="S43" s="2"/>
      <c r="T43" s="2"/>
      <c r="U43" s="2"/>
      <c r="V43" s="2"/>
      <c r="W43" s="2"/>
      <c r="X43" s="2"/>
    </row>
    <row r="44" spans="1:24" ht="20.5" x14ac:dyDescent="0.45">
      <c r="A44" s="20"/>
      <c r="B44" s="20"/>
      <c r="C44" s="20"/>
      <c r="D44" s="20"/>
      <c r="E44" s="20"/>
      <c r="F44" s="4" t="s">
        <v>23</v>
      </c>
      <c r="G44" s="3"/>
      <c r="H44" s="3"/>
      <c r="I44" s="3"/>
      <c r="J44" s="3"/>
      <c r="K44" s="3"/>
      <c r="L44" s="3"/>
      <c r="M44" s="3"/>
      <c r="N44" s="3"/>
      <c r="O44" s="3"/>
      <c r="P44" s="3"/>
      <c r="Q44" s="3"/>
      <c r="R44" s="2"/>
      <c r="S44" s="2"/>
      <c r="T44" s="2"/>
      <c r="U44" s="2"/>
      <c r="V44" s="2"/>
      <c r="W44" s="2"/>
      <c r="X44" s="2"/>
    </row>
    <row r="45" spans="1:24" ht="20.5" x14ac:dyDescent="0.45">
      <c r="A45" s="20"/>
      <c r="B45" s="20"/>
      <c r="C45" s="20"/>
      <c r="D45" s="20"/>
      <c r="E45" s="20"/>
      <c r="F45" s="4" t="s">
        <v>24</v>
      </c>
      <c r="G45" s="3"/>
      <c r="H45" s="3"/>
      <c r="I45" s="3"/>
      <c r="J45" s="3"/>
      <c r="K45" s="3"/>
      <c r="L45" s="3"/>
      <c r="M45" s="3"/>
      <c r="N45" s="3"/>
      <c r="O45" s="3"/>
      <c r="P45" s="3"/>
      <c r="Q45" s="3"/>
      <c r="R45" s="2"/>
      <c r="S45" s="2"/>
      <c r="T45" s="2"/>
      <c r="U45" s="2"/>
      <c r="V45" s="2"/>
      <c r="W45" s="2"/>
      <c r="X45" s="2"/>
    </row>
    <row r="46" spans="1:24" ht="20.5" x14ac:dyDescent="0.45">
      <c r="A46" s="20"/>
      <c r="B46" s="20"/>
      <c r="C46" s="20"/>
      <c r="D46" s="20"/>
      <c r="E46" s="20"/>
      <c r="F46" s="3"/>
      <c r="G46" s="3"/>
      <c r="H46" s="3"/>
      <c r="I46" s="3"/>
      <c r="J46" s="3"/>
      <c r="K46" s="3"/>
      <c r="L46" s="3"/>
      <c r="M46" s="3"/>
      <c r="N46" s="3"/>
      <c r="O46" s="3"/>
      <c r="P46" s="3"/>
      <c r="Q46" s="3"/>
      <c r="R46" s="2"/>
      <c r="S46" s="2"/>
      <c r="T46" s="2"/>
      <c r="U46" s="2"/>
      <c r="V46" s="2"/>
      <c r="W46" s="2"/>
      <c r="X46" s="2"/>
    </row>
    <row r="47" spans="1:24" x14ac:dyDescent="0.35">
      <c r="A47" s="20"/>
      <c r="B47" s="20"/>
      <c r="C47" s="20"/>
      <c r="D47" s="20"/>
      <c r="E47" s="20"/>
    </row>
    <row r="48" spans="1:24" x14ac:dyDescent="0.35">
      <c r="A48" s="20"/>
      <c r="B48" s="20"/>
      <c r="C48" s="20"/>
      <c r="D48" s="20"/>
      <c r="E48" s="20"/>
    </row>
    <row r="49" spans="1:17" x14ac:dyDescent="0.35">
      <c r="A49" s="20"/>
      <c r="B49" s="20"/>
      <c r="C49" s="20"/>
      <c r="D49" s="20"/>
      <c r="E49" s="20"/>
    </row>
    <row r="50" spans="1:17" x14ac:dyDescent="0.35">
      <c r="A50" s="20"/>
      <c r="B50" s="20"/>
      <c r="C50" s="20"/>
      <c r="D50" s="20"/>
      <c r="E50" s="20"/>
    </row>
    <row r="51" spans="1:17" ht="21" x14ac:dyDescent="0.5">
      <c r="A51" s="20"/>
      <c r="B51" s="20"/>
      <c r="C51" s="20"/>
      <c r="D51" s="20"/>
      <c r="E51" s="20"/>
      <c r="F51" s="1"/>
      <c r="G51" s="1"/>
      <c r="H51" s="1"/>
      <c r="I51" s="1"/>
      <c r="J51" s="1"/>
      <c r="K51" s="1"/>
      <c r="L51" s="1"/>
      <c r="M51" s="1"/>
      <c r="N51" s="1"/>
      <c r="O51" s="1"/>
      <c r="P51" s="1"/>
      <c r="Q51" s="1"/>
    </row>
    <row r="52" spans="1:17" x14ac:dyDescent="0.35">
      <c r="A52" s="20"/>
      <c r="B52" s="20"/>
      <c r="C52" s="20"/>
      <c r="D52" s="20"/>
      <c r="E52" s="20"/>
    </row>
    <row r="53" spans="1:17" x14ac:dyDescent="0.35">
      <c r="A53" s="20"/>
      <c r="B53" s="20"/>
      <c r="C53" s="20"/>
      <c r="D53" s="20"/>
      <c r="E53" s="20"/>
    </row>
    <row r="54" spans="1:17" x14ac:dyDescent="0.35">
      <c r="A54" s="20"/>
      <c r="B54" s="20"/>
      <c r="C54" s="20"/>
      <c r="D54" s="20"/>
      <c r="E54" s="20"/>
    </row>
    <row r="55" spans="1:17" x14ac:dyDescent="0.35">
      <c r="A55" s="20"/>
      <c r="B55" s="20"/>
      <c r="C55" s="20"/>
      <c r="D55" s="20"/>
      <c r="E55" s="20"/>
    </row>
    <row r="56" spans="1:17" x14ac:dyDescent="0.35">
      <c r="A56" s="20"/>
      <c r="B56" s="20"/>
      <c r="C56" s="20"/>
      <c r="D56" s="20"/>
      <c r="E56" s="20"/>
    </row>
    <row r="57" spans="1:17" x14ac:dyDescent="0.35">
      <c r="A57" s="20"/>
      <c r="B57" s="20"/>
      <c r="C57" s="20"/>
      <c r="D57" s="20"/>
      <c r="E57" s="20"/>
    </row>
    <row r="58" spans="1:17" x14ac:dyDescent="0.35">
      <c r="A58" s="20"/>
      <c r="B58" s="20"/>
      <c r="C58" s="20"/>
      <c r="D58" s="20"/>
      <c r="E58" s="20"/>
    </row>
    <row r="59" spans="1:17" x14ac:dyDescent="0.35">
      <c r="A59" s="20"/>
      <c r="B59" s="20"/>
      <c r="C59" s="20"/>
      <c r="D59" s="20"/>
      <c r="E59" s="20"/>
    </row>
    <row r="60" spans="1:17" x14ac:dyDescent="0.35">
      <c r="A60" s="20"/>
      <c r="B60" s="20"/>
      <c r="C60" s="20"/>
      <c r="D60" s="20"/>
      <c r="E60" s="20"/>
    </row>
    <row r="61" spans="1:17" x14ac:dyDescent="0.35">
      <c r="A61" s="20"/>
      <c r="B61" s="20"/>
      <c r="C61" s="20"/>
      <c r="D61" s="20"/>
      <c r="E61" s="20"/>
    </row>
    <row r="62" spans="1:17" x14ac:dyDescent="0.35">
      <c r="A62" s="20"/>
      <c r="B62" s="20"/>
      <c r="C62" s="20"/>
      <c r="D62" s="20"/>
      <c r="E62" s="20"/>
    </row>
    <row r="63" spans="1:17" x14ac:dyDescent="0.35">
      <c r="A63" s="20"/>
      <c r="B63" s="20"/>
      <c r="C63" s="20"/>
      <c r="D63" s="20"/>
      <c r="E63" s="20"/>
    </row>
    <row r="64" spans="1:17" x14ac:dyDescent="0.35">
      <c r="A64" s="20"/>
      <c r="B64" s="20"/>
      <c r="C64" s="20"/>
      <c r="D64" s="20"/>
      <c r="E64" s="20"/>
    </row>
    <row r="65" spans="1:5" x14ac:dyDescent="0.35">
      <c r="A65" s="20"/>
      <c r="B65" s="20"/>
      <c r="C65" s="20"/>
      <c r="D65" s="20"/>
      <c r="E65" s="20"/>
    </row>
    <row r="66" spans="1:5" x14ac:dyDescent="0.35">
      <c r="A66" s="20"/>
      <c r="B66" s="20"/>
      <c r="C66" s="20"/>
      <c r="D66" s="20"/>
      <c r="E66" s="20"/>
    </row>
    <row r="67" spans="1:5" x14ac:dyDescent="0.35">
      <c r="A67" s="20"/>
      <c r="B67" s="20"/>
      <c r="C67" s="20"/>
      <c r="D67" s="20"/>
      <c r="E67" s="20"/>
    </row>
    <row r="68" spans="1:5" x14ac:dyDescent="0.35">
      <c r="A68" s="20"/>
      <c r="B68" s="20"/>
      <c r="C68" s="20"/>
      <c r="D68" s="20"/>
      <c r="E68" s="20"/>
    </row>
    <row r="69" spans="1:5" x14ac:dyDescent="0.35">
      <c r="A69" s="20"/>
      <c r="B69" s="20"/>
      <c r="C69" s="20"/>
      <c r="D69" s="20"/>
      <c r="E69" s="20"/>
    </row>
    <row r="70" spans="1:5" x14ac:dyDescent="0.35">
      <c r="A70" s="20"/>
      <c r="B70" s="20"/>
      <c r="C70" s="20"/>
      <c r="D70" s="20"/>
      <c r="E70" s="20"/>
    </row>
    <row r="71" spans="1:5" x14ac:dyDescent="0.35">
      <c r="A71" s="20"/>
      <c r="B71" s="20"/>
      <c r="C71" s="20"/>
      <c r="D71" s="20"/>
      <c r="E71" s="20"/>
    </row>
    <row r="72" spans="1:5" x14ac:dyDescent="0.35">
      <c r="A72" s="20"/>
      <c r="B72" s="20"/>
      <c r="C72" s="20"/>
      <c r="D72" s="20"/>
      <c r="E72" s="20"/>
    </row>
    <row r="73" spans="1:5" x14ac:dyDescent="0.35">
      <c r="A73" s="20"/>
      <c r="B73" s="20"/>
      <c r="C73" s="20"/>
      <c r="D73" s="20"/>
      <c r="E73" s="20"/>
    </row>
    <row r="74" spans="1:5" x14ac:dyDescent="0.35">
      <c r="A74" s="20"/>
      <c r="B74" s="20"/>
      <c r="C74" s="20"/>
      <c r="D74" s="20"/>
      <c r="E74" s="20"/>
    </row>
    <row r="75" spans="1:5" x14ac:dyDescent="0.35">
      <c r="A75" s="20"/>
      <c r="B75" s="20"/>
      <c r="C75" s="20"/>
      <c r="D75" s="20"/>
      <c r="E75" s="20"/>
    </row>
    <row r="76" spans="1:5" x14ac:dyDescent="0.35">
      <c r="A76" s="20"/>
      <c r="B76" s="20"/>
      <c r="C76" s="20"/>
      <c r="D76" s="20"/>
      <c r="E76" s="20"/>
    </row>
  </sheetData>
  <mergeCells count="1">
    <mergeCell ref="J1:P2"/>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HR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Kanishka Singal</dc:creator>
  <cp:lastModifiedBy>Kanishka Singal</cp:lastModifiedBy>
  <dcterms:created xsi:type="dcterms:W3CDTF">2026-08-28T06:52:54Z</dcterms:created>
  <dcterms:modified xsi:type="dcterms:W3CDTF">2026-10-17T05:48:26Z</dcterms:modified>
</cp:coreProperties>
</file>